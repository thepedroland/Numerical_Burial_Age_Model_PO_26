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edro_oliveira/Library/CloudStorage/OneDrive-CUNY/PhD_LIFE/py_repositories/numerical_MC_Burial_Ages_PO/support/data/tables/"/>
    </mc:Choice>
  </mc:AlternateContent>
  <xr:revisionPtr revIDLastSave="0" documentId="13_ncr:1_{2622E87D-96D9-5240-81DC-7DFB35DAC262}" xr6:coauthVersionLast="47" xr6:coauthVersionMax="47" xr10:uidLastSave="{00000000-0000-0000-0000-000000000000}"/>
  <bookViews>
    <workbookView xWindow="-20" yWindow="600" windowWidth="28800" windowHeight="17400" tabRatio="500" activeTab="1" xr2:uid="{00000000-000D-0000-FFFF-FFFF00000000}"/>
  </bookViews>
  <sheets>
    <sheet name="10Be Calculations" sheetId="1" r:id="rId1"/>
    <sheet name="Journal-Style Table" sheetId="3" r:id="rId2"/>
    <sheet name="Blank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11" i="1" l="1"/>
  <c r="Q19" i="1" l="1"/>
  <c r="N12" i="1" l="1"/>
  <c r="N13" i="1"/>
  <c r="N14" i="1"/>
  <c r="N15" i="1"/>
  <c r="N16" i="1"/>
  <c r="N17" i="1"/>
  <c r="N18" i="1"/>
  <c r="O18" i="1" s="1"/>
  <c r="P18" i="1" s="1"/>
  <c r="Q18" i="1" s="1"/>
  <c r="N19" i="1"/>
  <c r="O19" i="1" s="1"/>
  <c r="N20" i="1"/>
  <c r="N21" i="1"/>
  <c r="N22" i="1"/>
  <c r="N23" i="1"/>
  <c r="N24" i="1"/>
  <c r="N25" i="1"/>
  <c r="N26" i="1"/>
  <c r="O26" i="1" s="1"/>
  <c r="N27" i="1"/>
  <c r="O27" i="1" s="1"/>
  <c r="N28" i="1"/>
  <c r="N29" i="1"/>
  <c r="N30" i="1"/>
  <c r="I12" i="1"/>
  <c r="I13" i="1"/>
  <c r="I14" i="1"/>
  <c r="I15" i="1"/>
  <c r="I16" i="1"/>
  <c r="I17" i="1"/>
  <c r="J17" i="1" s="1"/>
  <c r="I18" i="1"/>
  <c r="J18" i="1" s="1"/>
  <c r="I19" i="1"/>
  <c r="J19" i="1" s="1"/>
  <c r="K19" i="1" s="1"/>
  <c r="L19" i="1" s="1"/>
  <c r="I20" i="1"/>
  <c r="I21" i="1"/>
  <c r="I22" i="1"/>
  <c r="I23" i="1"/>
  <c r="I24" i="1"/>
  <c r="I25" i="1"/>
  <c r="J25" i="1" s="1"/>
  <c r="K25" i="1" s="1"/>
  <c r="L25" i="1" s="1"/>
  <c r="I26" i="1"/>
  <c r="J26" i="1" s="1"/>
  <c r="I27" i="1"/>
  <c r="J27" i="1" s="1"/>
  <c r="K27" i="1" s="1"/>
  <c r="L27" i="1" s="1"/>
  <c r="I28" i="1"/>
  <c r="I29" i="1"/>
  <c r="I30" i="1"/>
  <c r="I11" i="1"/>
  <c r="J11" i="1" s="1"/>
  <c r="E5" i="2"/>
  <c r="E4" i="2"/>
  <c r="O12" i="1"/>
  <c r="O13" i="1"/>
  <c r="O14" i="1"/>
  <c r="O15" i="1"/>
  <c r="O16" i="1"/>
  <c r="O17" i="1"/>
  <c r="O20" i="1"/>
  <c r="O21" i="1"/>
  <c r="O22" i="1"/>
  <c r="O23" i="1"/>
  <c r="O24" i="1"/>
  <c r="O25" i="1"/>
  <c r="O28" i="1"/>
  <c r="O29" i="1"/>
  <c r="O30" i="1"/>
  <c r="O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11" i="1"/>
  <c r="J15" i="1"/>
  <c r="J16" i="1"/>
  <c r="J20" i="1"/>
  <c r="J21" i="1"/>
  <c r="J22" i="1"/>
  <c r="J23" i="1"/>
  <c r="J24" i="1"/>
  <c r="J28" i="1"/>
  <c r="J29" i="1"/>
  <c r="J30" i="1"/>
  <c r="K30" i="1" s="1"/>
  <c r="L30" i="1" s="1"/>
  <c r="J12" i="1"/>
  <c r="J13" i="1"/>
  <c r="J14" i="1"/>
  <c r="P15" i="1" l="1"/>
  <c r="Q15" i="1" s="1"/>
  <c r="P30" i="1"/>
  <c r="Q30" i="1" s="1"/>
  <c r="P14" i="1"/>
  <c r="Q14" i="1" s="1"/>
  <c r="P29" i="1"/>
  <c r="Q29" i="1" s="1"/>
  <c r="P21" i="1"/>
  <c r="Q21" i="1" s="1"/>
  <c r="P13" i="1"/>
  <c r="Q13" i="1" s="1"/>
  <c r="P28" i="1"/>
  <c r="Q28" i="1" s="1"/>
  <c r="P20" i="1"/>
  <c r="Q20" i="1" s="1"/>
  <c r="K23" i="1"/>
  <c r="L23" i="1" s="1"/>
  <c r="K14" i="1"/>
  <c r="L14" i="1" s="1"/>
  <c r="P19" i="1"/>
  <c r="P27" i="1"/>
  <c r="Q27" i="1" s="1"/>
  <c r="K13" i="1"/>
  <c r="L13" i="1" s="1"/>
  <c r="P26" i="1"/>
  <c r="Q26" i="1" s="1"/>
  <c r="K15" i="1"/>
  <c r="L15" i="1" s="1"/>
  <c r="K24" i="1"/>
  <c r="L24" i="1" s="1"/>
  <c r="K16" i="1"/>
  <c r="L16" i="1" s="1"/>
  <c r="K26" i="1"/>
  <c r="L26" i="1" s="1"/>
  <c r="K21" i="1"/>
  <c r="L21" i="1" s="1"/>
  <c r="K17" i="1"/>
  <c r="L17" i="1" s="1"/>
  <c r="P22" i="1"/>
  <c r="Q22" i="1" s="1"/>
  <c r="K22" i="1"/>
  <c r="L22" i="1" s="1"/>
  <c r="K11" i="1"/>
  <c r="L11" i="1" s="1"/>
  <c r="K18" i="1"/>
  <c r="L18" i="1" s="1"/>
  <c r="K12" i="1"/>
  <c r="L12" i="1" s="1"/>
  <c r="K28" i="1"/>
  <c r="L28" i="1" s="1"/>
  <c r="P23" i="1"/>
  <c r="Q23" i="1" s="1"/>
  <c r="K29" i="1"/>
  <c r="L29" i="1" s="1"/>
  <c r="P25" i="1"/>
  <c r="Q25" i="1" s="1"/>
  <c r="P16" i="1"/>
  <c r="Q16" i="1" s="1"/>
  <c r="P11" i="1"/>
  <c r="Q11" i="1" s="1"/>
  <c r="K20" i="1"/>
  <c r="L20" i="1" s="1"/>
  <c r="P12" i="1"/>
  <c r="Q12" i="1" s="1"/>
  <c r="P24" i="1"/>
  <c r="Q24" i="1" s="1"/>
  <c r="P17" i="1"/>
  <c r="Q17" i="1" s="1"/>
</calcChain>
</file>

<file path=xl/sharedStrings.xml><?xml version="1.0" encoding="utf-8"?>
<sst xmlns="http://schemas.openxmlformats.org/spreadsheetml/2006/main" count="87" uniqueCount="63">
  <si>
    <t>Sample Name</t>
  </si>
  <si>
    <t>UVM Batch Number</t>
  </si>
  <si>
    <t>Be Analysis Date</t>
  </si>
  <si>
    <t>Quartz Mass (g)</t>
  </si>
  <si>
    <r>
      <t xml:space="preserve">Mass of 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Carrier Added (g)</t>
    </r>
  </si>
  <si>
    <r>
      <t xml:space="preserve">Concentration of 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Carrier Added (μg/mL)</t>
    </r>
  </si>
  <si>
    <r>
      <t xml:space="preserve">Density of 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Carrier (g/mL):</t>
    </r>
  </si>
  <si>
    <t>Atomic Mass of Be (g/mol):</t>
  </si>
  <si>
    <t>CONSTANTS</t>
  </si>
  <si>
    <t>SAMPLE PREPARATION DATA</t>
  </si>
  <si>
    <r>
      <t xml:space="preserve">From AMS: Uncorrected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</t>
    </r>
  </si>
  <si>
    <r>
      <t xml:space="preserve">From "Blanks" Sheet: Background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</t>
    </r>
  </si>
  <si>
    <t>Avogadro's Number (atoms/mol):</t>
  </si>
  <si>
    <r>
      <t xml:space="preserve">Calculate: Background-Corrected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</t>
    </r>
  </si>
  <si>
    <r>
      <t xml:space="preserve">Calculate: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 xml:space="preserve">Be Atoms </t>
    </r>
    <r>
      <rPr>
        <b/>
        <vertAlign val="superscript"/>
        <sz val="10"/>
        <color theme="1"/>
        <rFont val="Times New Roman"/>
        <family val="1"/>
      </rPr>
      <t/>
    </r>
  </si>
  <si>
    <r>
      <t xml:space="preserve">Calculate: 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Atoms Added</t>
    </r>
  </si>
  <si>
    <r>
      <t xml:space="preserve">Calculate: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 Atoms/g</t>
    </r>
  </si>
  <si>
    <t>CALCULATIONS TO DETERMINE CONCENTRATION</t>
  </si>
  <si>
    <t>CALCULATIONS TO DETERMINE UNCERTAINTY</t>
  </si>
  <si>
    <r>
      <t xml:space="preserve">From AMS: Uncorrected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 Uncertainty</t>
    </r>
  </si>
  <si>
    <r>
      <t xml:space="preserve">From "Blanks" Sheet: Background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 Uncertainty</t>
    </r>
  </si>
  <si>
    <r>
      <t xml:space="preserve">Calculate: Background-Corrected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 Uncertainty</t>
    </r>
  </si>
  <si>
    <r>
      <t xml:space="preserve">Calculate: Uncertainty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 Atoms</t>
    </r>
  </si>
  <si>
    <r>
      <t xml:space="preserve">Calculate: Uncertainty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 Atoms/g</t>
    </r>
  </si>
  <si>
    <t>Blank Name</t>
  </si>
  <si>
    <r>
      <t xml:space="preserve">From AMS: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</t>
    </r>
  </si>
  <si>
    <r>
      <t xml:space="preserve">From AMS: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 Uncertainty</t>
    </r>
  </si>
  <si>
    <r>
      <t xml:space="preserve">Mass of 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Added (μg)*</t>
    </r>
  </si>
  <si>
    <t>AMS Cathode Number</t>
  </si>
  <si>
    <r>
      <t xml:space="preserve">Uncorrected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Ratio**</t>
    </r>
  </si>
  <si>
    <r>
      <t xml:space="preserve">Uncorrected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 Uncertainty**</t>
    </r>
  </si>
  <si>
    <r>
      <t xml:space="preserve">Background-Corrected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</t>
    </r>
  </si>
  <si>
    <r>
      <t xml:space="preserve">Background-Corrected </t>
    </r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Be/</t>
    </r>
    <r>
      <rPr>
        <b/>
        <vertAlign val="superscript"/>
        <sz val="10"/>
        <color theme="1"/>
        <rFont val="Times New Roman"/>
        <family val="1"/>
      </rPr>
      <t>9</t>
    </r>
    <r>
      <rPr>
        <b/>
        <sz val="10"/>
        <color theme="1"/>
        <rFont val="Times New Roman"/>
        <family val="1"/>
      </rPr>
      <t>Be Ratio Uncertainty</t>
    </r>
  </si>
  <si>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 Concentration (atoms g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>)</t>
    </r>
  </si>
  <si>
    <r>
      <rPr>
        <b/>
        <vertAlign val="superscript"/>
        <sz val="10"/>
        <color theme="1"/>
        <rFont val="Times New Roman"/>
        <family val="1"/>
      </rPr>
      <t>10</t>
    </r>
    <r>
      <rPr>
        <b/>
        <sz val="10"/>
        <color theme="1"/>
        <rFont val="Times New Roman"/>
        <family val="1"/>
      </rPr>
      <t>Be Concentration Uncertainty (atoms g</t>
    </r>
    <r>
      <rPr>
        <b/>
        <vertAlign val="superscript"/>
        <sz val="10"/>
        <color theme="1"/>
        <rFont val="Times New Roman"/>
        <family val="1"/>
      </rPr>
      <t>-1</t>
    </r>
    <r>
      <rPr>
        <b/>
        <sz val="10"/>
        <color theme="1"/>
        <rFont val="Times New Roman"/>
        <family val="1"/>
      </rPr>
      <t>)</t>
    </r>
  </si>
  <si>
    <t>Cathode Number</t>
  </si>
  <si>
    <t>BLK</t>
  </si>
  <si>
    <t>BE-002</t>
  </si>
  <si>
    <t>BV-018</t>
  </si>
  <si>
    <t>IC-035</t>
  </si>
  <si>
    <t>IT-030</t>
  </si>
  <si>
    <t>RA-050</t>
  </si>
  <si>
    <t>RI-048</t>
  </si>
  <si>
    <t>RV-054</t>
  </si>
  <si>
    <t>SB-011</t>
  </si>
  <si>
    <t>SB-013</t>
  </si>
  <si>
    <t>SB-017</t>
  </si>
  <si>
    <t>AD-055</t>
  </si>
  <si>
    <t>IM-033</t>
  </si>
  <si>
    <t>IP-038</t>
  </si>
  <si>
    <t>PE-053</t>
  </si>
  <si>
    <t>PP-036</t>
  </si>
  <si>
    <t>RA-051</t>
  </si>
  <si>
    <t>RC-044</t>
  </si>
  <si>
    <t>RC-045</t>
  </si>
  <si>
    <t>RI-046</t>
  </si>
  <si>
    <t>RI-047</t>
  </si>
  <si>
    <r>
      <t>*</t>
    </r>
    <r>
      <rPr>
        <vertAlign val="superscript"/>
        <sz val="10"/>
        <rFont val="Times New Roman"/>
        <family val="1"/>
      </rPr>
      <t>9</t>
    </r>
    <r>
      <rPr>
        <sz val="10"/>
        <rFont val="Times New Roman"/>
        <family val="1"/>
      </rPr>
      <t>Be was added through a carrier made at University of Vermont with a concentration of 304 μg mL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.</t>
    </r>
  </si>
  <si>
    <t>AVERAGE</t>
  </si>
  <si>
    <t>STDEV</t>
  </si>
  <si>
    <t>You had two blanks associated with these two batches of samples. I've used the average and STDEV of those two blanks to correct the sample ratios.</t>
  </si>
  <si>
    <r>
      <t>**Isotopic analysis was conducted at PRIME Laboratory; ratios were normalized against standard 07KNSTD3110 with an assumed ratio of 2850 x 10</t>
    </r>
    <r>
      <rPr>
        <vertAlign val="superscript"/>
        <sz val="10"/>
        <rFont val="Times New Roman"/>
        <family val="1"/>
      </rPr>
      <t>-15</t>
    </r>
    <r>
      <rPr>
        <sz val="10"/>
        <rFont val="Times New Roman"/>
        <family val="1"/>
      </rPr>
      <t xml:space="preserve"> (Nishiizumi et al., 2007).</t>
    </r>
  </si>
  <si>
    <t>RU-054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</si>
</sst>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E+00"/>
    <numFmt numFmtId="165" formatCode="0.0000"/>
    <numFmt numFmtId="166" formatCode="0.0"/>
    <numFmt numFmtId="167" formatCode="0.00000000000000E+00"/>
    <numFmt numFmtId="168" formatCode="0.0000%"/>
    <numFmt numFmtId="170" formatCode="0.00000%"/>
  </numFmts>
  <fonts count="14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"/>
    </font>
    <font>
      <sz val="10"/>
      <name val="Times New Roman"/>
      <family val="1"/>
    </font>
    <font>
      <sz val="10"/>
      <name val="Times"/>
    </font>
    <font>
      <sz val="10"/>
      <color theme="0" tint="-0.249977111117893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vertAlign val="superscript"/>
      <sz val="10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perscript"/>
      <sz val="10"/>
      <name val="Times New Roman"/>
      <family val="1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13" fillId="0" borderId="0" applyFont="0" applyFill="0" applyBorder="0" applyAlignment="0" applyProtection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9" fontId="1" fillId="0" borderId="0" xfId="21" applyFont="1"/>
    <xf numFmtId="167" fontId="1" fillId="0" borderId="0" xfId="0" applyNumberFormat="1" applyFont="1"/>
    <xf numFmtId="9" fontId="6" fillId="0" borderId="0" xfId="21" applyFont="1" applyAlignment="1">
      <alignment horizontal="center"/>
    </xf>
    <xf numFmtId="170" fontId="1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8" fontId="1" fillId="0" borderId="0" xfId="21" applyNumberFormat="1" applyFont="1" applyFill="1"/>
    <xf numFmtId="0" fontId="1" fillId="0" borderId="0" xfId="0" applyFont="1" applyFill="1"/>
    <xf numFmtId="9" fontId="1" fillId="0" borderId="0" xfId="21" applyFont="1" applyFill="1"/>
    <xf numFmtId="0" fontId="1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166" fontId="4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166" fontId="1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11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6" fontId="4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</cellXfs>
  <cellStyles count="2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  <cellStyle name="Percent" xfId="2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R42"/>
  <sheetViews>
    <sheetView topLeftCell="A3" zoomScale="125" workbookViewId="0">
      <selection activeCell="S18" sqref="S18"/>
    </sheetView>
  </sheetViews>
  <sheetFormatPr baseColWidth="10" defaultColWidth="16.83203125" defaultRowHeight="13"/>
  <cols>
    <col min="1" max="1" width="10.5" style="2" customWidth="1"/>
    <col min="2" max="3" width="8.33203125" style="2" customWidth="1"/>
    <col min="4" max="4" width="10.5" style="2" bestFit="1" customWidth="1"/>
    <col min="5" max="5" width="10.83203125" style="2" customWidth="1"/>
    <col min="6" max="6" width="13.33203125" style="2" customWidth="1"/>
    <col min="7" max="7" width="14.5" style="2" customWidth="1"/>
    <col min="8" max="8" width="15.5" style="10" customWidth="1"/>
    <col min="9" max="10" width="16.83203125" style="10"/>
    <col min="11" max="11" width="11" style="10" customWidth="1"/>
    <col min="12" max="12" width="10.83203125" style="10" customWidth="1"/>
    <col min="13" max="13" width="14.1640625" style="10" customWidth="1"/>
    <col min="14" max="14" width="16.33203125" style="10" customWidth="1"/>
    <col min="15" max="15" width="16.83203125" style="10"/>
    <col min="16" max="16" width="15" style="2" customWidth="1"/>
    <col min="17" max="17" width="14.5" style="2" customWidth="1"/>
    <col min="18" max="16384" width="16.83203125" style="2"/>
  </cols>
  <sheetData>
    <row r="3" spans="1:18">
      <c r="A3" s="29" t="s">
        <v>8</v>
      </c>
      <c r="B3" s="29"/>
      <c r="C3" s="29"/>
      <c r="D3" s="29"/>
    </row>
    <row r="4" spans="1:18" ht="15">
      <c r="A4" s="12" t="s">
        <v>6</v>
      </c>
      <c r="D4" s="2">
        <v>1.012</v>
      </c>
    </row>
    <row r="5" spans="1:18">
      <c r="A5" s="12" t="s">
        <v>7</v>
      </c>
      <c r="D5" s="2">
        <v>9.0121819999999992</v>
      </c>
    </row>
    <row r="6" spans="1:18">
      <c r="A6" s="12" t="s">
        <v>12</v>
      </c>
      <c r="D6" s="10">
        <v>6.0220000000000003E+23</v>
      </c>
    </row>
    <row r="9" spans="1:18">
      <c r="A9" s="1"/>
      <c r="B9" s="1"/>
      <c r="C9" s="1"/>
      <c r="D9" s="28" t="s">
        <v>9</v>
      </c>
      <c r="E9" s="28"/>
      <c r="F9" s="28"/>
      <c r="G9" s="28"/>
      <c r="H9" s="30" t="s">
        <v>17</v>
      </c>
      <c r="I9" s="30"/>
      <c r="J9" s="30"/>
      <c r="K9" s="30"/>
      <c r="L9" s="30"/>
      <c r="M9" s="31" t="s">
        <v>18</v>
      </c>
      <c r="N9" s="31"/>
      <c r="O9" s="31"/>
      <c r="P9" s="31"/>
      <c r="Q9" s="31"/>
    </row>
    <row r="10" spans="1:18" s="11" customFormat="1" ht="58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15</v>
      </c>
      <c r="H10" s="4" t="s">
        <v>10</v>
      </c>
      <c r="I10" s="4" t="s">
        <v>11</v>
      </c>
      <c r="J10" s="4" t="s">
        <v>13</v>
      </c>
      <c r="K10" s="4" t="s">
        <v>14</v>
      </c>
      <c r="L10" s="4" t="s">
        <v>16</v>
      </c>
      <c r="M10" s="4" t="s">
        <v>19</v>
      </c>
      <c r="N10" s="4" t="s">
        <v>20</v>
      </c>
      <c r="O10" s="4" t="s">
        <v>21</v>
      </c>
      <c r="P10" s="4" t="s">
        <v>22</v>
      </c>
      <c r="Q10" s="4" t="s">
        <v>23</v>
      </c>
    </row>
    <row r="11" spans="1:18" s="9" customFormat="1">
      <c r="A11" s="15" t="s">
        <v>37</v>
      </c>
      <c r="B11" s="16">
        <v>764</v>
      </c>
      <c r="C11" s="17">
        <v>45794</v>
      </c>
      <c r="D11" s="18">
        <v>21.958400000000001</v>
      </c>
      <c r="E11" s="18">
        <v>0.83199999999999996</v>
      </c>
      <c r="F11" s="16">
        <v>304</v>
      </c>
      <c r="G11" s="5">
        <f t="shared" ref="G11:G30" si="0">(E11*$D$6*F11)/($D$5*10^6*$D$4)</f>
        <v>1.6700412367529339E+19</v>
      </c>
      <c r="H11" s="6">
        <v>3.75091941176471E-13</v>
      </c>
      <c r="I11" s="6">
        <f>Blanks!$E$4</f>
        <v>3.0553301780303002E-15</v>
      </c>
      <c r="J11" s="6">
        <f t="shared" ref="J11:J30" si="1">H11-I11</f>
        <v>3.7203661099844071E-13</v>
      </c>
      <c r="K11" s="6">
        <f t="shared" ref="K11:K30" si="2">J11*G11</f>
        <v>6213164.8194920607</v>
      </c>
      <c r="L11" s="7">
        <f t="shared" ref="L11:L30" si="3">K11/D11</f>
        <v>282951.61849187833</v>
      </c>
      <c r="M11" s="6">
        <v>5.7063598823529401E-15</v>
      </c>
      <c r="N11" s="6">
        <f>Blanks!$E$5</f>
        <v>5.3807984228997613E-16</v>
      </c>
      <c r="O11" s="6">
        <f>SQRT(M11^2+N11^2)</f>
        <v>5.7316727945344078E-15</v>
      </c>
      <c r="P11" s="6">
        <f>O11*G11</f>
        <v>95721.299224473871</v>
      </c>
      <c r="Q11" s="7">
        <f>P11/D11</f>
        <v>4359.2110183107088</v>
      </c>
      <c r="R11" s="25"/>
    </row>
    <row r="12" spans="1:18">
      <c r="A12" s="15" t="s">
        <v>38</v>
      </c>
      <c r="B12" s="16">
        <v>764</v>
      </c>
      <c r="C12" s="17">
        <v>45794</v>
      </c>
      <c r="D12" s="18">
        <v>21.683800000000002</v>
      </c>
      <c r="E12" s="18">
        <v>0.83379999999999999</v>
      </c>
      <c r="F12" s="16">
        <v>304</v>
      </c>
      <c r="G12" s="5">
        <f t="shared" si="0"/>
        <v>1.6736543067362937E+19</v>
      </c>
      <c r="H12" s="6">
        <v>4.8185298750000003E-14</v>
      </c>
      <c r="I12" s="6">
        <f>Blanks!$E$4</f>
        <v>3.0553301780303002E-15</v>
      </c>
      <c r="J12" s="6">
        <f t="shared" si="1"/>
        <v>4.5129968571969701E-14</v>
      </c>
      <c r="K12" s="6">
        <f t="shared" si="2"/>
        <v>755319.6626335067</v>
      </c>
      <c r="L12" s="7">
        <f t="shared" si="3"/>
        <v>34833.362355007273</v>
      </c>
      <c r="M12" s="6">
        <v>2.1594998750000001E-15</v>
      </c>
      <c r="N12" s="6">
        <f>Blanks!$E$5</f>
        <v>5.3807984228997613E-16</v>
      </c>
      <c r="O12" s="6">
        <f t="shared" ref="O12:O30" si="4">SQRT(M12^2+N12^2)</f>
        <v>2.2255268200594263E-15</v>
      </c>
      <c r="P12" s="6">
        <f t="shared" ref="P12:P30" si="5">O12*G12</f>
        <v>37247.625471495878</v>
      </c>
      <c r="Q12" s="7">
        <f t="shared" ref="Q12:Q30" si="6">P12/D12</f>
        <v>1717.7628216224036</v>
      </c>
      <c r="R12" s="25"/>
    </row>
    <row r="13" spans="1:18" s="9" customFormat="1">
      <c r="A13" s="15" t="s">
        <v>39</v>
      </c>
      <c r="B13" s="16">
        <v>764</v>
      </c>
      <c r="C13" s="17">
        <v>45794</v>
      </c>
      <c r="D13" s="18">
        <v>21.4375</v>
      </c>
      <c r="E13" s="18">
        <v>0.83730000000000004</v>
      </c>
      <c r="F13" s="16">
        <v>304</v>
      </c>
      <c r="G13" s="5">
        <f t="shared" si="0"/>
        <v>1.6806797205928264E+19</v>
      </c>
      <c r="H13" s="6">
        <v>2.1264305000000001E-13</v>
      </c>
      <c r="I13" s="6">
        <f>Blanks!$E$4</f>
        <v>3.0553301780303002E-15</v>
      </c>
      <c r="J13" s="6">
        <f t="shared" si="1"/>
        <v>2.0958771982196972E-13</v>
      </c>
      <c r="K13" s="6">
        <f t="shared" si="2"/>
        <v>3522498.3039007564</v>
      </c>
      <c r="L13" s="7">
        <f t="shared" si="3"/>
        <v>164314.78968633266</v>
      </c>
      <c r="M13" s="6">
        <v>5.0024601666666702E-15</v>
      </c>
      <c r="N13" s="6">
        <f>Blanks!$E$5</f>
        <v>5.3807984228997613E-16</v>
      </c>
      <c r="O13" s="6">
        <f t="shared" si="4"/>
        <v>5.0313156962931212E-15</v>
      </c>
      <c r="P13" s="6">
        <f t="shared" si="5"/>
        <v>84560.302586602251</v>
      </c>
      <c r="Q13" s="7">
        <f t="shared" si="6"/>
        <v>3944.5039107452944</v>
      </c>
      <c r="R13" s="25"/>
    </row>
    <row r="14" spans="1:18">
      <c r="A14" s="15" t="s">
        <v>40</v>
      </c>
      <c r="B14" s="16">
        <v>764</v>
      </c>
      <c r="C14" s="17">
        <v>45794</v>
      </c>
      <c r="D14" s="18">
        <v>22.0945</v>
      </c>
      <c r="E14" s="18">
        <v>0.83530000000000004</v>
      </c>
      <c r="F14" s="16">
        <v>304</v>
      </c>
      <c r="G14" s="5">
        <f t="shared" si="0"/>
        <v>1.6766651983890934E+19</v>
      </c>
      <c r="H14" s="6">
        <v>2.3878800833333303E-13</v>
      </c>
      <c r="I14" s="6">
        <f>Blanks!$E$4</f>
        <v>3.0553301780303002E-15</v>
      </c>
      <c r="J14" s="6">
        <f t="shared" si="1"/>
        <v>2.3573267815530274E-13</v>
      </c>
      <c r="K14" s="6">
        <f t="shared" si="2"/>
        <v>3952447.7758605294</v>
      </c>
      <c r="L14" s="7">
        <f t="shared" si="3"/>
        <v>178888.31047819727</v>
      </c>
      <c r="M14" s="6">
        <v>5.2168998333333302E-15</v>
      </c>
      <c r="N14" s="6">
        <f>Blanks!$E$5</f>
        <v>5.3807984228997613E-16</v>
      </c>
      <c r="O14" s="6">
        <f t="shared" si="4"/>
        <v>5.2445756537313994E-15</v>
      </c>
      <c r="P14" s="6">
        <f t="shared" si="5"/>
        <v>87933.974789301661</v>
      </c>
      <c r="Q14" s="7">
        <f t="shared" si="6"/>
        <v>3979.9033600806383</v>
      </c>
      <c r="R14" s="25"/>
    </row>
    <row r="15" spans="1:18">
      <c r="A15" s="15" t="s">
        <v>41</v>
      </c>
      <c r="B15" s="16">
        <v>764</v>
      </c>
      <c r="C15" s="17">
        <v>45794</v>
      </c>
      <c r="D15" s="18">
        <v>21.858599999999999</v>
      </c>
      <c r="E15" s="18">
        <v>0.83520000000000005</v>
      </c>
      <c r="F15" s="16">
        <v>304</v>
      </c>
      <c r="G15" s="5">
        <f t="shared" si="0"/>
        <v>1.6764644722789069E+19</v>
      </c>
      <c r="H15" s="6">
        <v>4.5499104999999996E-13</v>
      </c>
      <c r="I15" s="6">
        <f>Blanks!$E$4</f>
        <v>3.0553301780303002E-15</v>
      </c>
      <c r="J15" s="6">
        <f t="shared" si="1"/>
        <v>4.5193571982196967E-13</v>
      </c>
      <c r="K15" s="6">
        <f t="shared" si="2"/>
        <v>7576541.780353263</v>
      </c>
      <c r="L15" s="7">
        <f t="shared" si="3"/>
        <v>346616.05868414551</v>
      </c>
      <c r="M15" s="6">
        <v>7.8239205833333312E-15</v>
      </c>
      <c r="N15" s="6">
        <f>Blanks!$E$5</f>
        <v>5.3807984228997613E-16</v>
      </c>
      <c r="O15" s="6">
        <f t="shared" si="4"/>
        <v>7.8424016226527052E-15</v>
      </c>
      <c r="P15" s="6">
        <f t="shared" si="5"/>
        <v>131475.07697719711</v>
      </c>
      <c r="Q15" s="7">
        <f t="shared" si="6"/>
        <v>6014.7986136896743</v>
      </c>
      <c r="R15" s="25"/>
    </row>
    <row r="16" spans="1:18" s="9" customFormat="1">
      <c r="A16" s="15" t="s">
        <v>42</v>
      </c>
      <c r="B16" s="16">
        <v>764</v>
      </c>
      <c r="C16" s="17">
        <v>45794</v>
      </c>
      <c r="D16" s="18">
        <v>22.3599</v>
      </c>
      <c r="E16" s="18">
        <v>0.83509999999999995</v>
      </c>
      <c r="F16" s="16">
        <v>304</v>
      </c>
      <c r="G16" s="5">
        <f t="shared" si="0"/>
        <v>1.67626374616872E+19</v>
      </c>
      <c r="H16" s="6">
        <v>2.0461900000000002E-13</v>
      </c>
      <c r="I16" s="6">
        <f>Blanks!$E$4</f>
        <v>3.0553301780303002E-15</v>
      </c>
      <c r="J16" s="6">
        <f t="shared" si="1"/>
        <v>2.0156366982196973E-13</v>
      </c>
      <c r="K16" s="6">
        <f t="shared" si="2"/>
        <v>3378738.7226728993</v>
      </c>
      <c r="L16" s="7">
        <f t="shared" si="3"/>
        <v>151107.05873786999</v>
      </c>
      <c r="M16" s="6">
        <v>4.6375592500000005E-15</v>
      </c>
      <c r="N16" s="6">
        <f>Blanks!$E$5</f>
        <v>5.3807984228997613E-16</v>
      </c>
      <c r="O16" s="6">
        <f t="shared" si="4"/>
        <v>4.6686706581145105E-15</v>
      </c>
      <c r="P16" s="6">
        <f t="shared" si="5"/>
        <v>78259.233669990121</v>
      </c>
      <c r="Q16" s="7">
        <f t="shared" si="6"/>
        <v>3499.9813805066265</v>
      </c>
      <c r="R16" s="25"/>
    </row>
    <row r="17" spans="1:18">
      <c r="A17" s="15" t="s">
        <v>43</v>
      </c>
      <c r="B17" s="16">
        <v>764</v>
      </c>
      <c r="C17" s="17">
        <v>45794</v>
      </c>
      <c r="D17" s="18">
        <v>21.3902</v>
      </c>
      <c r="E17" s="18">
        <v>0.83489999999999998</v>
      </c>
      <c r="F17" s="16">
        <v>304</v>
      </c>
      <c r="G17" s="5">
        <f t="shared" si="0"/>
        <v>1.6758622939483468E+19</v>
      </c>
      <c r="H17" s="6">
        <v>8.8248208333333301E-13</v>
      </c>
      <c r="I17" s="6">
        <f>Blanks!$E$4</f>
        <v>3.0553301780303002E-15</v>
      </c>
      <c r="J17" s="6">
        <f t="shared" si="1"/>
        <v>8.7942675315530272E-13</v>
      </c>
      <c r="K17" s="6">
        <f t="shared" si="2"/>
        <v>14737981.359023921</v>
      </c>
      <c r="L17" s="7">
        <f t="shared" si="3"/>
        <v>689006.24393525638</v>
      </c>
      <c r="M17" s="6">
        <v>1.1659600833333302E-14</v>
      </c>
      <c r="N17" s="6">
        <f>Blanks!$E$5</f>
        <v>5.3807984228997613E-16</v>
      </c>
      <c r="O17" s="6">
        <f t="shared" si="4"/>
        <v>1.1672010174316395E-14</v>
      </c>
      <c r="P17" s="6">
        <f t="shared" si="5"/>
        <v>195606.81745718315</v>
      </c>
      <c r="Q17" s="7">
        <f t="shared" si="6"/>
        <v>9144.6932453732625</v>
      </c>
      <c r="R17" s="25"/>
    </row>
    <row r="18" spans="1:18">
      <c r="A18" s="15" t="s">
        <v>44</v>
      </c>
      <c r="B18" s="16">
        <v>764</v>
      </c>
      <c r="C18" s="17">
        <v>45794</v>
      </c>
      <c r="D18" s="18">
        <v>21.965199999999999</v>
      </c>
      <c r="E18" s="18">
        <v>0.83740000000000003</v>
      </c>
      <c r="F18" s="16">
        <v>304</v>
      </c>
      <c r="G18" s="5">
        <f t="shared" si="0"/>
        <v>1.6808804467030133E+19</v>
      </c>
      <c r="H18" s="6">
        <v>4.9967205000000005E-14</v>
      </c>
      <c r="I18" s="6">
        <f>Blanks!$E$4</f>
        <v>3.0553301780303002E-15</v>
      </c>
      <c r="J18" s="6">
        <f t="shared" si="1"/>
        <v>4.6911874821969703E-14</v>
      </c>
      <c r="K18" s="6">
        <f t="shared" si="2"/>
        <v>788532.53106428275</v>
      </c>
      <c r="L18" s="7">
        <f t="shared" si="3"/>
        <v>35899.173741385588</v>
      </c>
      <c r="M18" s="6">
        <v>2.1111903125000002E-15</v>
      </c>
      <c r="N18" s="6">
        <f>Blanks!$E$5</f>
        <v>5.3807984228997613E-16</v>
      </c>
      <c r="O18" s="6">
        <f t="shared" si="4"/>
        <v>2.1786818152893859E-15</v>
      </c>
      <c r="P18" s="6">
        <f t="shared" si="5"/>
        <v>36621.036629073547</v>
      </c>
      <c r="Q18" s="7">
        <f t="shared" si="6"/>
        <v>1667.2298285047962</v>
      </c>
      <c r="R18" s="25"/>
    </row>
    <row r="19" spans="1:18">
      <c r="A19" s="15" t="s">
        <v>45</v>
      </c>
      <c r="B19" s="16">
        <v>764</v>
      </c>
      <c r="C19" s="17">
        <v>45794</v>
      </c>
      <c r="D19" s="18">
        <v>18.139900000000001</v>
      </c>
      <c r="E19" s="18">
        <v>0.83430000000000004</v>
      </c>
      <c r="F19" s="16">
        <v>304</v>
      </c>
      <c r="G19" s="5">
        <f t="shared" si="0"/>
        <v>1.674657937287227E+19</v>
      </c>
      <c r="H19" s="6">
        <v>3.1641896666666706E-13</v>
      </c>
      <c r="I19" s="6">
        <f>Blanks!$E$4</f>
        <v>3.0553301780303002E-15</v>
      </c>
      <c r="J19" s="6">
        <f t="shared" si="1"/>
        <v>3.1336363648863677E-13</v>
      </c>
      <c r="K19" s="6">
        <f t="shared" si="2"/>
        <v>5247769.0110288486</v>
      </c>
      <c r="L19" s="7">
        <f t="shared" si="3"/>
        <v>289294.26353115775</v>
      </c>
      <c r="M19" s="6">
        <v>6.1876405000000004E-15</v>
      </c>
      <c r="N19" s="6">
        <f>Blanks!$E$5</f>
        <v>5.3807984228997613E-16</v>
      </c>
      <c r="O19" s="6">
        <f t="shared" si="4"/>
        <v>6.2109922616212511E-15</v>
      </c>
      <c r="P19" s="6">
        <f t="shared" si="5"/>
        <v>104012.87489353573</v>
      </c>
      <c r="Q19" s="7">
        <f t="shared" si="6"/>
        <v>5733.9276894324512</v>
      </c>
      <c r="R19" s="25"/>
    </row>
    <row r="20" spans="1:18" s="9" customFormat="1">
      <c r="A20" s="15" t="s">
        <v>46</v>
      </c>
      <c r="B20" s="16">
        <v>764</v>
      </c>
      <c r="C20" s="17">
        <v>45794</v>
      </c>
      <c r="D20" s="18">
        <v>20.9541</v>
      </c>
      <c r="E20" s="18">
        <v>0.82630000000000003</v>
      </c>
      <c r="F20" s="16">
        <v>304</v>
      </c>
      <c r="G20" s="5">
        <f t="shared" si="0"/>
        <v>1.658599848472295E+19</v>
      </c>
      <c r="H20" s="6">
        <v>2.0013399285714302E-14</v>
      </c>
      <c r="I20" s="6">
        <f>Blanks!$E$4</f>
        <v>3.0553301780303002E-15</v>
      </c>
      <c r="J20" s="6">
        <f t="shared" si="1"/>
        <v>1.6958069107684002E-14</v>
      </c>
      <c r="K20" s="6">
        <f t="shared" si="2"/>
        <v>281266.50852387393</v>
      </c>
      <c r="L20" s="7">
        <f t="shared" si="3"/>
        <v>13422.982066701692</v>
      </c>
      <c r="M20" s="6">
        <v>1.4659802857142902E-15</v>
      </c>
      <c r="N20" s="6">
        <f>Blanks!$E$5</f>
        <v>5.3807984228997613E-16</v>
      </c>
      <c r="O20" s="6">
        <f t="shared" si="4"/>
        <v>1.5616107436815864E-15</v>
      </c>
      <c r="P20" s="6">
        <f t="shared" si="5"/>
        <v>25900.873428429873</v>
      </c>
      <c r="Q20" s="7">
        <f t="shared" si="6"/>
        <v>1236.0766355238293</v>
      </c>
      <c r="R20" s="25"/>
    </row>
    <row r="21" spans="1:18" s="9" customFormat="1">
      <c r="A21" s="15" t="s">
        <v>47</v>
      </c>
      <c r="B21" s="16">
        <v>765</v>
      </c>
      <c r="C21" s="17">
        <v>45794</v>
      </c>
      <c r="D21" s="18">
        <v>21.56</v>
      </c>
      <c r="E21" s="18">
        <v>0.83320000000000005</v>
      </c>
      <c r="F21" s="16">
        <v>304</v>
      </c>
      <c r="G21" s="5">
        <f t="shared" si="0"/>
        <v>1.6724499500751739E+19</v>
      </c>
      <c r="H21" s="6">
        <v>2.4206597500000005E-13</v>
      </c>
      <c r="I21" s="6">
        <f>Blanks!$E$4</f>
        <v>3.0553301780303002E-15</v>
      </c>
      <c r="J21" s="6">
        <f t="shared" si="1"/>
        <v>2.3901064482196976E-13</v>
      </c>
      <c r="K21" s="6">
        <f t="shared" si="2"/>
        <v>3997333.4099993845</v>
      </c>
      <c r="L21" s="7">
        <f t="shared" si="3"/>
        <v>185405.07467529614</v>
      </c>
      <c r="M21" s="6">
        <v>6.2199103333333306E-15</v>
      </c>
      <c r="N21" s="6">
        <f>Blanks!$E$5</f>
        <v>5.3807984228997613E-16</v>
      </c>
      <c r="O21" s="6">
        <f t="shared" si="4"/>
        <v>6.2431413944732623E-15</v>
      </c>
      <c r="P21" s="6">
        <f t="shared" si="5"/>
        <v>104413.41513499059</v>
      </c>
      <c r="Q21" s="7">
        <f t="shared" si="6"/>
        <v>4842.9227799160753</v>
      </c>
      <c r="R21" s="25"/>
    </row>
    <row r="22" spans="1:18">
      <c r="A22" s="15" t="s">
        <v>48</v>
      </c>
      <c r="B22" s="16">
        <v>765</v>
      </c>
      <c r="C22" s="17">
        <v>45794</v>
      </c>
      <c r="D22" s="18">
        <v>20.462199999999999</v>
      </c>
      <c r="E22" s="18">
        <v>0.83109999999999995</v>
      </c>
      <c r="F22" s="16">
        <v>304</v>
      </c>
      <c r="G22" s="5">
        <f t="shared" si="0"/>
        <v>1.668234701761254E+19</v>
      </c>
      <c r="H22" s="6">
        <v>3.3198704166666701E-13</v>
      </c>
      <c r="I22" s="6">
        <f>Blanks!$E$4</f>
        <v>3.0553301780303002E-15</v>
      </c>
      <c r="J22" s="6">
        <f t="shared" si="1"/>
        <v>3.2893171148863672E-13</v>
      </c>
      <c r="K22" s="6">
        <f t="shared" si="2"/>
        <v>5487352.9561506473</v>
      </c>
      <c r="L22" s="7">
        <f t="shared" si="3"/>
        <v>268170.23370657343</v>
      </c>
      <c r="M22" s="6">
        <v>7.1036097500000011E-15</v>
      </c>
      <c r="N22" s="6">
        <f>Blanks!$E$5</f>
        <v>5.3807984228997613E-16</v>
      </c>
      <c r="O22" s="6">
        <f t="shared" si="4"/>
        <v>7.1239596712063079E-15</v>
      </c>
      <c r="P22" s="6">
        <f t="shared" si="5"/>
        <v>118844.36737454055</v>
      </c>
      <c r="Q22" s="7">
        <f t="shared" si="6"/>
        <v>5807.9955906276236</v>
      </c>
      <c r="R22" s="25"/>
    </row>
    <row r="23" spans="1:18">
      <c r="A23" s="15" t="s">
        <v>49</v>
      </c>
      <c r="B23" s="16">
        <v>765</v>
      </c>
      <c r="C23" s="17">
        <v>45794</v>
      </c>
      <c r="D23" s="18">
        <v>21.529499999999999</v>
      </c>
      <c r="E23" s="18">
        <v>0.83540000000000003</v>
      </c>
      <c r="F23" s="16">
        <v>304</v>
      </c>
      <c r="G23" s="5">
        <f t="shared" si="0"/>
        <v>1.6768659244992801E+19</v>
      </c>
      <c r="H23" s="6">
        <v>2.8784694166666705E-13</v>
      </c>
      <c r="I23" s="6">
        <f>Blanks!$E$4</f>
        <v>3.0553301780303002E-15</v>
      </c>
      <c r="J23" s="6">
        <f t="shared" si="1"/>
        <v>2.8479161148863676E-13</v>
      </c>
      <c r="K23" s="6">
        <f t="shared" si="2"/>
        <v>4775573.4888853263</v>
      </c>
      <c r="L23" s="7">
        <f t="shared" si="3"/>
        <v>221815.34586893921</v>
      </c>
      <c r="M23" s="6">
        <v>7.2921695833333306E-15</v>
      </c>
      <c r="N23" s="6">
        <f>Blanks!$E$5</f>
        <v>5.3807984228997613E-16</v>
      </c>
      <c r="O23" s="6">
        <f t="shared" si="4"/>
        <v>7.3119947448538689E-15</v>
      </c>
      <c r="P23" s="6">
        <f t="shared" si="5"/>
        <v>122612.3482776326</v>
      </c>
      <c r="Q23" s="7">
        <f t="shared" si="6"/>
        <v>5695.085732489496</v>
      </c>
      <c r="R23" s="25"/>
    </row>
    <row r="24" spans="1:18">
      <c r="A24" s="15" t="s">
        <v>50</v>
      </c>
      <c r="B24" s="16">
        <v>765</v>
      </c>
      <c r="C24" s="17">
        <v>45794</v>
      </c>
      <c r="D24" s="18">
        <v>21.4834</v>
      </c>
      <c r="E24" s="18">
        <v>0.83360000000000001</v>
      </c>
      <c r="F24" s="16">
        <v>304</v>
      </c>
      <c r="G24" s="5">
        <f t="shared" si="0"/>
        <v>1.6732528545159203E+19</v>
      </c>
      <c r="H24" s="6">
        <v>3.8891105000000001E-13</v>
      </c>
      <c r="I24" s="6">
        <f>Blanks!$E$4</f>
        <v>3.0553301780303002E-15</v>
      </c>
      <c r="J24" s="6">
        <f t="shared" si="1"/>
        <v>3.8585571982196972E-13</v>
      </c>
      <c r="K24" s="6">
        <f t="shared" si="2"/>
        <v>6456341.8462340599</v>
      </c>
      <c r="L24" s="7">
        <f t="shared" si="3"/>
        <v>300527.00439567573</v>
      </c>
      <c r="M24" s="6">
        <v>7.2099997500000001E-15</v>
      </c>
      <c r="N24" s="6">
        <f>Blanks!$E$5</f>
        <v>5.3807984228997613E-16</v>
      </c>
      <c r="O24" s="6">
        <f t="shared" si="4"/>
        <v>7.2300502288489572E-15</v>
      </c>
      <c r="P24" s="6">
        <f t="shared" si="5"/>
        <v>120977.02183715001</v>
      </c>
      <c r="Q24" s="7">
        <f t="shared" si="6"/>
        <v>5631.186024425836</v>
      </c>
      <c r="R24" s="25"/>
    </row>
    <row r="25" spans="1:18">
      <c r="A25" s="15" t="s">
        <v>51</v>
      </c>
      <c r="B25" s="16">
        <v>765</v>
      </c>
      <c r="C25" s="17">
        <v>45794</v>
      </c>
      <c r="D25" s="18">
        <v>21.529599999999999</v>
      </c>
      <c r="E25" s="18">
        <v>0.83409999999999995</v>
      </c>
      <c r="F25" s="16">
        <v>304</v>
      </c>
      <c r="G25" s="5">
        <f t="shared" si="0"/>
        <v>1.6742564850668536E+19</v>
      </c>
      <c r="H25" s="6">
        <v>1.3730700625000001E-13</v>
      </c>
      <c r="I25" s="6">
        <f>Blanks!$E$4</f>
        <v>3.0553301780303002E-15</v>
      </c>
      <c r="J25" s="6">
        <f t="shared" si="1"/>
        <v>1.3425167607196972E-13</v>
      </c>
      <c r="K25" s="6">
        <f t="shared" si="2"/>
        <v>2247717.3929458982</v>
      </c>
      <c r="L25" s="7">
        <f t="shared" si="3"/>
        <v>104401.2611913783</v>
      </c>
      <c r="M25" s="6">
        <v>5.1738200000000001E-15</v>
      </c>
      <c r="N25" s="6">
        <f>Blanks!$E$5</f>
        <v>5.3807984228997613E-16</v>
      </c>
      <c r="O25" s="6">
        <f t="shared" si="4"/>
        <v>5.201725032052233E-15</v>
      </c>
      <c r="P25" s="6">
        <f t="shared" si="5"/>
        <v>87090.21868448038</v>
      </c>
      <c r="Q25" s="7">
        <f t="shared" si="6"/>
        <v>4045.1387245689834</v>
      </c>
      <c r="R25" s="25"/>
    </row>
    <row r="26" spans="1:18">
      <c r="A26" s="15" t="s">
        <v>52</v>
      </c>
      <c r="B26" s="16">
        <v>765</v>
      </c>
      <c r="C26" s="17">
        <v>45794</v>
      </c>
      <c r="D26" s="18">
        <v>21.55</v>
      </c>
      <c r="E26" s="18">
        <v>0.83330000000000004</v>
      </c>
      <c r="F26" s="16">
        <v>304</v>
      </c>
      <c r="G26" s="5">
        <f t="shared" si="0"/>
        <v>1.6726506761853606E+19</v>
      </c>
      <c r="H26" s="6">
        <v>5.9969095833333302E-13</v>
      </c>
      <c r="I26" s="6">
        <f>Blanks!$E$4</f>
        <v>3.0553301780303002E-15</v>
      </c>
      <c r="J26" s="6">
        <f t="shared" si="1"/>
        <v>5.9663562815530273E-13</v>
      </c>
      <c r="K26" s="6">
        <f t="shared" si="2"/>
        <v>9979629.8687024452</v>
      </c>
      <c r="L26" s="7">
        <f t="shared" si="3"/>
        <v>463091.87325765408</v>
      </c>
      <c r="M26" s="6">
        <v>2.0755000833333301E-14</v>
      </c>
      <c r="N26" s="6">
        <f>Blanks!$E$5</f>
        <v>5.3807984228997613E-16</v>
      </c>
      <c r="O26" s="6">
        <f t="shared" si="4"/>
        <v>2.0761974605233116E-14</v>
      </c>
      <c r="P26" s="6">
        <f t="shared" si="5"/>
        <v>347275.30862386455</v>
      </c>
      <c r="Q26" s="7">
        <f t="shared" si="6"/>
        <v>16114.863509228053</v>
      </c>
      <c r="R26" s="25"/>
    </row>
    <row r="27" spans="1:18">
      <c r="A27" s="15" t="s">
        <v>53</v>
      </c>
      <c r="B27" s="16">
        <v>765</v>
      </c>
      <c r="C27" s="17">
        <v>45794</v>
      </c>
      <c r="D27" s="18">
        <v>21.650300000000001</v>
      </c>
      <c r="E27" s="18">
        <v>0.83260000000000001</v>
      </c>
      <c r="F27" s="16">
        <v>304</v>
      </c>
      <c r="G27" s="5">
        <f t="shared" si="0"/>
        <v>1.6712455934140537E+19</v>
      </c>
      <c r="H27" s="6">
        <v>7.2625394444444399E-13</v>
      </c>
      <c r="I27" s="6">
        <f>Blanks!$E$4</f>
        <v>3.0553301780303002E-15</v>
      </c>
      <c r="J27" s="6">
        <f t="shared" si="1"/>
        <v>7.231986142664137E-13</v>
      </c>
      <c r="K27" s="6">
        <f t="shared" si="2"/>
        <v>12086424.972558938</v>
      </c>
      <c r="L27" s="7">
        <f t="shared" si="3"/>
        <v>558256.6972540305</v>
      </c>
      <c r="M27" s="6">
        <v>9.7678088888888916E-15</v>
      </c>
      <c r="N27" s="6">
        <f>Blanks!$E$5</f>
        <v>5.3807984228997613E-16</v>
      </c>
      <c r="O27" s="6">
        <f t="shared" si="4"/>
        <v>9.782618279710992E-15</v>
      </c>
      <c r="P27" s="6">
        <f t="shared" si="5"/>
        <v>163491.57692018765</v>
      </c>
      <c r="Q27" s="7">
        <f t="shared" si="6"/>
        <v>7551.4693523963933</v>
      </c>
      <c r="R27" s="25"/>
    </row>
    <row r="28" spans="1:18">
      <c r="A28" s="15" t="s">
        <v>54</v>
      </c>
      <c r="B28" s="16">
        <v>765</v>
      </c>
      <c r="C28" s="17">
        <v>45794</v>
      </c>
      <c r="D28" s="18">
        <v>21.6</v>
      </c>
      <c r="E28" s="18">
        <v>0.83530000000000004</v>
      </c>
      <c r="F28" s="16">
        <v>304</v>
      </c>
      <c r="G28" s="5">
        <f t="shared" si="0"/>
        <v>1.6766651983890934E+19</v>
      </c>
      <c r="H28" s="6">
        <v>6.4381299166666704E-13</v>
      </c>
      <c r="I28" s="6">
        <f>Blanks!$E$4</f>
        <v>3.0553301780303002E-15</v>
      </c>
      <c r="J28" s="6">
        <f t="shared" si="1"/>
        <v>6.4075766148863675E-13</v>
      </c>
      <c r="K28" s="6">
        <f t="shared" si="2"/>
        <v>10743360.716191767</v>
      </c>
      <c r="L28" s="7">
        <f t="shared" si="3"/>
        <v>497377.81093480397</v>
      </c>
      <c r="M28" s="6">
        <v>9.84874E-15</v>
      </c>
      <c r="N28" s="6">
        <f>Blanks!$E$5</f>
        <v>5.3807984228997613E-16</v>
      </c>
      <c r="O28" s="6">
        <f t="shared" si="4"/>
        <v>9.8634278779884029E-15</v>
      </c>
      <c r="P28" s="6">
        <f t="shared" si="5"/>
        <v>165376.6625984394</v>
      </c>
      <c r="Q28" s="7">
        <f t="shared" si="6"/>
        <v>7656.3269721499719</v>
      </c>
      <c r="R28" s="25"/>
    </row>
    <row r="29" spans="1:18">
      <c r="A29" s="15" t="s">
        <v>55</v>
      </c>
      <c r="B29" s="16">
        <v>765</v>
      </c>
      <c r="C29" s="17">
        <v>45794</v>
      </c>
      <c r="D29" s="18">
        <v>21.540099999999999</v>
      </c>
      <c r="E29" s="18">
        <v>0.83169999999999999</v>
      </c>
      <c r="F29" s="16">
        <v>304</v>
      </c>
      <c r="G29" s="5">
        <f t="shared" si="0"/>
        <v>1.669439058422374E+19</v>
      </c>
      <c r="H29" s="6">
        <v>2.0609000833333302E-13</v>
      </c>
      <c r="I29" s="6">
        <f>Blanks!$E$4</f>
        <v>3.0553301780303002E-15</v>
      </c>
      <c r="J29" s="6">
        <f t="shared" si="1"/>
        <v>2.0303467815530273E-13</v>
      </c>
      <c r="K29" s="6">
        <f t="shared" si="2"/>
        <v>3389540.2192667834</v>
      </c>
      <c r="L29" s="7">
        <f t="shared" si="3"/>
        <v>157359.53961526565</v>
      </c>
      <c r="M29" s="6">
        <v>4.9104801666666707E-15</v>
      </c>
      <c r="N29" s="6">
        <f>Blanks!$E$5</f>
        <v>5.3807984228997613E-16</v>
      </c>
      <c r="O29" s="6">
        <f t="shared" si="4"/>
        <v>4.9398730129331803E-15</v>
      </c>
      <c r="P29" s="6">
        <f t="shared" si="5"/>
        <v>82468.169514372639</v>
      </c>
      <c r="Q29" s="7">
        <f t="shared" si="6"/>
        <v>3828.5880527190052</v>
      </c>
      <c r="R29" s="25"/>
    </row>
    <row r="30" spans="1:18">
      <c r="A30" s="15" t="s">
        <v>56</v>
      </c>
      <c r="B30" s="16">
        <v>765</v>
      </c>
      <c r="C30" s="17">
        <v>45794</v>
      </c>
      <c r="D30" s="18">
        <v>21.524899999999999</v>
      </c>
      <c r="E30" s="18">
        <v>0.82879999999999998</v>
      </c>
      <c r="F30" s="16">
        <v>304</v>
      </c>
      <c r="G30" s="5">
        <f t="shared" si="0"/>
        <v>1.6636180012269611E+19</v>
      </c>
      <c r="H30" s="6">
        <v>1.02047E-13</v>
      </c>
      <c r="I30" s="6">
        <f>Blanks!$E$4</f>
        <v>3.0553301780303002E-15</v>
      </c>
      <c r="J30" s="6">
        <f t="shared" si="1"/>
        <v>9.8991669821969699E-14</v>
      </c>
      <c r="K30" s="6">
        <f t="shared" si="2"/>
        <v>1646843.2388734452</v>
      </c>
      <c r="L30" s="7">
        <f t="shared" si="3"/>
        <v>76508.752136987649</v>
      </c>
      <c r="M30" s="6">
        <v>5.0374903333333299E-15</v>
      </c>
      <c r="N30" s="6">
        <f>Blanks!$E$5</f>
        <v>5.3807984228997613E-16</v>
      </c>
      <c r="O30" s="6">
        <f t="shared" si="4"/>
        <v>5.0661463436329541E-15</v>
      </c>
      <c r="P30" s="6">
        <f t="shared" si="5"/>
        <v>84281.322541179325</v>
      </c>
      <c r="Q30" s="7">
        <f t="shared" si="6"/>
        <v>3915.5267871711053</v>
      </c>
      <c r="R30" s="25"/>
    </row>
    <row r="31" spans="1:18">
      <c r="H31" s="8"/>
      <c r="I31" s="8"/>
      <c r="J31" s="8"/>
    </row>
    <row r="32" spans="1:18">
      <c r="H32" s="8"/>
      <c r="I32" s="8"/>
      <c r="J32" s="8"/>
      <c r="R32" s="26"/>
    </row>
    <row r="33" spans="8:12">
      <c r="H33" s="8"/>
      <c r="I33" s="8"/>
      <c r="J33" s="8"/>
      <c r="K33" s="13"/>
      <c r="L33" s="14"/>
    </row>
    <row r="34" spans="8:12">
      <c r="H34" s="8"/>
      <c r="I34" s="8"/>
      <c r="J34" s="8"/>
      <c r="K34" s="13"/>
      <c r="L34" s="13"/>
    </row>
    <row r="35" spans="8:12">
      <c r="H35" s="8"/>
      <c r="I35" s="8"/>
      <c r="J35" s="8"/>
      <c r="K35" s="13"/>
      <c r="L35" s="13"/>
    </row>
    <row r="36" spans="8:12">
      <c r="H36" s="8"/>
      <c r="I36" s="8"/>
      <c r="J36" s="8"/>
      <c r="K36" s="13"/>
      <c r="L36" s="14"/>
    </row>
    <row r="37" spans="8:12">
      <c r="H37" s="8"/>
      <c r="I37" s="8"/>
      <c r="J37" s="8"/>
      <c r="K37" s="13"/>
      <c r="L37" s="13"/>
    </row>
    <row r="38" spans="8:12">
      <c r="H38" s="8"/>
      <c r="I38" s="8"/>
      <c r="J38" s="8"/>
      <c r="K38" s="13"/>
      <c r="L38" s="13"/>
    </row>
    <row r="39" spans="8:12">
      <c r="H39" s="6"/>
      <c r="I39" s="6"/>
      <c r="J39" s="6"/>
      <c r="K39" s="13"/>
      <c r="L39" s="14"/>
    </row>
    <row r="40" spans="8:12">
      <c r="H40" s="6"/>
      <c r="I40" s="6"/>
      <c r="J40" s="6"/>
      <c r="K40" s="13"/>
      <c r="L40" s="13"/>
    </row>
    <row r="41" spans="8:12">
      <c r="H41" s="6"/>
      <c r="I41" s="6"/>
      <c r="J41" s="6"/>
      <c r="K41" s="13"/>
      <c r="L41" s="13"/>
    </row>
    <row r="42" spans="8:12">
      <c r="H42" s="6"/>
      <c r="I42" s="6"/>
      <c r="J42" s="6"/>
    </row>
  </sheetData>
  <mergeCells count="4">
    <mergeCell ref="D9:G9"/>
    <mergeCell ref="A3:D3"/>
    <mergeCell ref="H9:L9"/>
    <mergeCell ref="M9:Q9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2"/>
  <sheetViews>
    <sheetView tabSelected="1" zoomScale="113" zoomScaleNormal="147" workbookViewId="0">
      <selection activeCell="I30" sqref="I30"/>
    </sheetView>
  </sheetViews>
  <sheetFormatPr baseColWidth="10" defaultRowHeight="13"/>
  <cols>
    <col min="1" max="1" width="7.5" style="19" customWidth="1"/>
    <col min="2" max="2" width="8" style="19" customWidth="1"/>
    <col min="3" max="3" width="9.1640625" style="19" customWidth="1"/>
    <col min="4" max="4" width="7.83203125" style="19" customWidth="1"/>
    <col min="5" max="5" width="11" style="19" customWidth="1"/>
    <col min="6" max="6" width="11.1640625" style="19" customWidth="1"/>
    <col min="7" max="8" width="10.83203125" style="19" customWidth="1"/>
    <col min="9" max="9" width="48.83203125" style="19" customWidth="1"/>
    <col min="10" max="10" width="30.83203125" style="19" customWidth="1"/>
    <col min="11" max="11" width="16.83203125" style="19" customWidth="1"/>
    <col min="12" max="16384" width="10.83203125" style="19"/>
  </cols>
  <sheetData>
    <row r="1" spans="1:11" ht="72">
      <c r="A1" s="36" t="s">
        <v>0</v>
      </c>
      <c r="B1" s="36" t="s">
        <v>3</v>
      </c>
      <c r="C1" s="36" t="s">
        <v>27</v>
      </c>
      <c r="D1" s="36" t="s">
        <v>28</v>
      </c>
      <c r="E1" s="37" t="s">
        <v>29</v>
      </c>
      <c r="F1" s="37" t="s">
        <v>30</v>
      </c>
      <c r="G1" s="37" t="s">
        <v>31</v>
      </c>
      <c r="H1" s="37" t="s">
        <v>32</v>
      </c>
      <c r="I1" s="37" t="s">
        <v>33</v>
      </c>
      <c r="J1" s="37" t="s">
        <v>34</v>
      </c>
    </row>
    <row r="2" spans="1:11">
      <c r="A2" s="38" t="s">
        <v>37</v>
      </c>
      <c r="B2" s="39">
        <v>21.958400000000001</v>
      </c>
      <c r="C2" s="40">
        <v>249.92885375494069</v>
      </c>
      <c r="D2" s="41">
        <v>173195</v>
      </c>
      <c r="E2" s="42">
        <v>3.75091941176471E-13</v>
      </c>
      <c r="F2" s="42">
        <v>5.7063598823529401E-15</v>
      </c>
      <c r="G2" s="42">
        <v>3.7203661099844071E-13</v>
      </c>
      <c r="H2" s="42">
        <v>5.7316727945344078E-15</v>
      </c>
      <c r="I2" s="43">
        <v>282951.61849187833</v>
      </c>
      <c r="J2" s="43">
        <v>4359.2110183107088</v>
      </c>
      <c r="K2" s="23"/>
    </row>
    <row r="3" spans="1:11" s="33" customFormat="1">
      <c r="A3" s="38" t="s">
        <v>38</v>
      </c>
      <c r="B3" s="39">
        <v>21.683800000000002</v>
      </c>
      <c r="C3" s="40">
        <v>250.46956521739131</v>
      </c>
      <c r="D3" s="41">
        <v>173196</v>
      </c>
      <c r="E3" s="42">
        <v>4.8185298750000003E-14</v>
      </c>
      <c r="F3" s="42">
        <v>2.1594998750000001E-15</v>
      </c>
      <c r="G3" s="42">
        <v>4.5129968571969701E-14</v>
      </c>
      <c r="H3" s="42">
        <v>2.2255268200594263E-15</v>
      </c>
      <c r="I3" s="43">
        <v>34833.362355007273</v>
      </c>
      <c r="J3" s="43">
        <v>1717.7628216224036</v>
      </c>
      <c r="K3" s="32"/>
    </row>
    <row r="4" spans="1:11" s="33" customFormat="1">
      <c r="A4" s="38" t="s">
        <v>39</v>
      </c>
      <c r="B4" s="39">
        <v>21.4375</v>
      </c>
      <c r="C4" s="40">
        <v>251.5209486166008</v>
      </c>
      <c r="D4" s="41">
        <v>173197</v>
      </c>
      <c r="E4" s="42">
        <v>2.1264305000000001E-13</v>
      </c>
      <c r="F4" s="42">
        <v>5.0024601666666702E-15</v>
      </c>
      <c r="G4" s="42">
        <v>2.0958771982196972E-13</v>
      </c>
      <c r="H4" s="42">
        <v>5.0313156962931212E-15</v>
      </c>
      <c r="I4" s="43">
        <v>164314.78968633266</v>
      </c>
      <c r="J4" s="43">
        <v>3944.5039107452944</v>
      </c>
      <c r="K4" s="32"/>
    </row>
    <row r="5" spans="1:11" s="33" customFormat="1">
      <c r="A5" s="38" t="s">
        <v>40</v>
      </c>
      <c r="B5" s="39">
        <v>22.0945</v>
      </c>
      <c r="C5" s="40">
        <v>250.92015810276681</v>
      </c>
      <c r="D5" s="41">
        <v>173199</v>
      </c>
      <c r="E5" s="42">
        <v>2.3878800833333303E-13</v>
      </c>
      <c r="F5" s="42">
        <v>5.2168998333333302E-15</v>
      </c>
      <c r="G5" s="42">
        <v>2.3573267815530274E-13</v>
      </c>
      <c r="H5" s="42">
        <v>5.2445756537313994E-15</v>
      </c>
      <c r="I5" s="43">
        <v>178888.31047819727</v>
      </c>
      <c r="J5" s="43">
        <v>3979.9033600806383</v>
      </c>
      <c r="K5" s="32"/>
    </row>
    <row r="6" spans="1:11" s="33" customFormat="1">
      <c r="A6" s="38" t="s">
        <v>41</v>
      </c>
      <c r="B6" s="39">
        <v>21.858599999999999</v>
      </c>
      <c r="C6" s="40">
        <v>250.8901185770751</v>
      </c>
      <c r="D6" s="41">
        <v>173200</v>
      </c>
      <c r="E6" s="42">
        <v>4.5499104999999996E-13</v>
      </c>
      <c r="F6" s="42">
        <v>7.8239205833333312E-15</v>
      </c>
      <c r="G6" s="42">
        <v>4.5193571982196967E-13</v>
      </c>
      <c r="H6" s="42">
        <v>7.8424016226527052E-15</v>
      </c>
      <c r="I6" s="43">
        <v>346616.05868414551</v>
      </c>
      <c r="J6" s="43">
        <v>6014.7986136896743</v>
      </c>
      <c r="K6" s="32"/>
    </row>
    <row r="7" spans="1:11" s="33" customFormat="1">
      <c r="A7" s="44" t="s">
        <v>42</v>
      </c>
      <c r="B7" s="45">
        <v>22.3599</v>
      </c>
      <c r="C7" s="46">
        <v>250.86007905138339</v>
      </c>
      <c r="D7" s="47">
        <v>173201</v>
      </c>
      <c r="E7" s="48">
        <v>2.0461900000000002E-13</v>
      </c>
      <c r="F7" s="48">
        <v>4.6375592500000005E-15</v>
      </c>
      <c r="G7" s="48">
        <v>2.0156366982196973E-13</v>
      </c>
      <c r="H7" s="48">
        <v>4.6686706581145105E-15</v>
      </c>
      <c r="I7" s="49">
        <v>151107.05873786999</v>
      </c>
      <c r="J7" s="49">
        <v>3499.9813805066265</v>
      </c>
      <c r="K7" s="32"/>
    </row>
    <row r="8" spans="1:11" s="33" customFormat="1">
      <c r="A8" s="38" t="s">
        <v>62</v>
      </c>
      <c r="B8" s="39">
        <v>21.3902</v>
      </c>
      <c r="C8" s="40">
        <v>250.79999999999998</v>
      </c>
      <c r="D8" s="41">
        <v>173202</v>
      </c>
      <c r="E8" s="42">
        <v>8.8248208333333301E-13</v>
      </c>
      <c r="F8" s="42">
        <v>1.1659600833333302E-14</v>
      </c>
      <c r="G8" s="42">
        <v>8.7942675315530272E-13</v>
      </c>
      <c r="H8" s="42">
        <v>1.1672010174316395E-14</v>
      </c>
      <c r="I8" s="43">
        <v>689006.24393525638</v>
      </c>
      <c r="J8" s="43">
        <v>9144.6932453732625</v>
      </c>
      <c r="K8" s="32"/>
    </row>
    <row r="9" spans="1:11" s="33" customFormat="1">
      <c r="A9" s="50" t="s">
        <v>44</v>
      </c>
      <c r="B9" s="50">
        <v>21.965199999999999</v>
      </c>
      <c r="C9" s="50">
        <v>251.55098814229248</v>
      </c>
      <c r="D9" s="50">
        <v>173203</v>
      </c>
      <c r="E9" s="50">
        <v>4.9967205000000005E-14</v>
      </c>
      <c r="F9" s="50">
        <v>2.1111903125000002E-15</v>
      </c>
      <c r="G9" s="50">
        <v>4.6911874821969703E-14</v>
      </c>
      <c r="H9" s="50">
        <v>2.1786818152893859E-15</v>
      </c>
      <c r="I9" s="43">
        <v>35899.173741385588</v>
      </c>
      <c r="J9" s="43">
        <v>1667.2298285047962</v>
      </c>
      <c r="K9" s="32"/>
    </row>
    <row r="10" spans="1:11" s="33" customFormat="1">
      <c r="A10" s="38" t="s">
        <v>45</v>
      </c>
      <c r="B10" s="39">
        <v>18.139900000000001</v>
      </c>
      <c r="C10" s="40">
        <v>250.61976284584983</v>
      </c>
      <c r="D10" s="41">
        <v>173205</v>
      </c>
      <c r="E10" s="42">
        <v>3.1641896666666706E-13</v>
      </c>
      <c r="F10" s="42">
        <v>6.1876405000000004E-15</v>
      </c>
      <c r="G10" s="42">
        <v>3.1336363648863677E-13</v>
      </c>
      <c r="H10" s="42">
        <v>6.2109922616212511E-15</v>
      </c>
      <c r="I10" s="43">
        <v>289294.26353115775</v>
      </c>
      <c r="J10" s="43">
        <v>5733.9276894324512</v>
      </c>
      <c r="K10" s="32"/>
    </row>
    <row r="11" spans="1:11" s="33" customFormat="1">
      <c r="A11" s="51" t="s">
        <v>46</v>
      </c>
      <c r="B11" s="52">
        <v>20.9541</v>
      </c>
      <c r="C11" s="53">
        <v>248.21660079051384</v>
      </c>
      <c r="D11" s="54">
        <v>173206</v>
      </c>
      <c r="E11" s="55">
        <v>2.0013399285714302E-14</v>
      </c>
      <c r="F11" s="55">
        <v>1.4659802857142902E-15</v>
      </c>
      <c r="G11" s="55">
        <v>1.6958069107684002E-14</v>
      </c>
      <c r="H11" s="55">
        <v>1.5616107436815864E-15</v>
      </c>
      <c r="I11" s="56">
        <v>13422.982066701692</v>
      </c>
      <c r="J11" s="56">
        <v>1236.0766355238293</v>
      </c>
      <c r="K11" s="32"/>
    </row>
    <row r="12" spans="1:11" s="33" customFormat="1">
      <c r="A12" s="38" t="s">
        <v>47</v>
      </c>
      <c r="B12" s="39">
        <v>21.56</v>
      </c>
      <c r="C12" s="40">
        <v>250.2893280632411</v>
      </c>
      <c r="D12" s="41">
        <v>173207</v>
      </c>
      <c r="E12" s="42">
        <v>2.4206597500000005E-13</v>
      </c>
      <c r="F12" s="42">
        <v>6.2199103333333306E-15</v>
      </c>
      <c r="G12" s="42">
        <v>2.3901064482196976E-13</v>
      </c>
      <c r="H12" s="42">
        <v>6.2431413944732623E-15</v>
      </c>
      <c r="I12" s="43">
        <v>185405.07467529614</v>
      </c>
      <c r="J12" s="43">
        <v>4842.9227799160753</v>
      </c>
      <c r="K12" s="32"/>
    </row>
    <row r="13" spans="1:11" s="33" customFormat="1">
      <c r="A13" s="38" t="s">
        <v>48</v>
      </c>
      <c r="B13" s="39">
        <v>20.462199999999999</v>
      </c>
      <c r="C13" s="40">
        <v>249.6584980237154</v>
      </c>
      <c r="D13" s="41">
        <v>173208</v>
      </c>
      <c r="E13" s="42">
        <v>3.3198704166666701E-13</v>
      </c>
      <c r="F13" s="42">
        <v>7.1036097500000011E-15</v>
      </c>
      <c r="G13" s="42">
        <v>3.2893171148863672E-13</v>
      </c>
      <c r="H13" s="42">
        <v>7.1239596712063079E-15</v>
      </c>
      <c r="I13" s="43">
        <v>268170.23370657343</v>
      </c>
      <c r="J13" s="43">
        <v>5807.9955906276236</v>
      </c>
      <c r="K13" s="32"/>
    </row>
    <row r="14" spans="1:11" s="33" customFormat="1">
      <c r="A14" s="38" t="s">
        <v>49</v>
      </c>
      <c r="B14" s="39">
        <v>21.529499999999999</v>
      </c>
      <c r="C14" s="40">
        <v>250.95019762845851</v>
      </c>
      <c r="D14" s="41">
        <v>173209</v>
      </c>
      <c r="E14" s="42">
        <v>2.8784694166666705E-13</v>
      </c>
      <c r="F14" s="42">
        <v>7.2921695833333306E-15</v>
      </c>
      <c r="G14" s="42">
        <v>2.8479161148863676E-13</v>
      </c>
      <c r="H14" s="42">
        <v>7.3119947448538689E-15</v>
      </c>
      <c r="I14" s="43">
        <v>221815.34586893901</v>
      </c>
      <c r="J14" s="43">
        <v>5695.085732489496</v>
      </c>
      <c r="K14" s="32"/>
    </row>
    <row r="15" spans="1:11" s="33" customFormat="1">
      <c r="A15" s="38" t="s">
        <v>50</v>
      </c>
      <c r="B15" s="39">
        <v>21.4834</v>
      </c>
      <c r="C15" s="40">
        <v>250.40948616600792</v>
      </c>
      <c r="D15" s="41">
        <v>173210</v>
      </c>
      <c r="E15" s="42">
        <v>3.8891105000000001E-13</v>
      </c>
      <c r="F15" s="42">
        <v>7.2099997500000001E-15</v>
      </c>
      <c r="G15" s="42">
        <v>3.8585571982196972E-13</v>
      </c>
      <c r="H15" s="42">
        <v>7.2300502288489572E-15</v>
      </c>
      <c r="I15" s="43">
        <v>300527.00439567573</v>
      </c>
      <c r="J15" s="43">
        <v>5631.186024425836</v>
      </c>
      <c r="K15" s="32"/>
    </row>
    <row r="16" spans="1:11" s="33" customFormat="1">
      <c r="A16" s="38" t="s">
        <v>51</v>
      </c>
      <c r="B16" s="39">
        <v>21.529599999999999</v>
      </c>
      <c r="C16" s="40">
        <v>250.55968379446639</v>
      </c>
      <c r="D16" s="41">
        <v>173212</v>
      </c>
      <c r="E16" s="42">
        <v>1.3730700625000001E-13</v>
      </c>
      <c r="F16" s="42">
        <v>5.1738200000000001E-15</v>
      </c>
      <c r="G16" s="42">
        <v>1.3425167607196972E-13</v>
      </c>
      <c r="H16" s="42">
        <v>5.201725032052233E-15</v>
      </c>
      <c r="I16" s="43">
        <v>104401.2611913783</v>
      </c>
      <c r="J16" s="43">
        <v>4045.1387245689834</v>
      </c>
      <c r="K16" s="32"/>
    </row>
    <row r="17" spans="1:11" s="33" customFormat="1">
      <c r="A17" s="38" t="s">
        <v>52</v>
      </c>
      <c r="B17" s="39">
        <v>21.55</v>
      </c>
      <c r="C17" s="40">
        <v>250.31936758893283</v>
      </c>
      <c r="D17" s="41">
        <v>173213</v>
      </c>
      <c r="E17" s="42">
        <v>5.9969095833333302E-13</v>
      </c>
      <c r="F17" s="42">
        <v>2.0755000833333301E-14</v>
      </c>
      <c r="G17" s="42">
        <v>5.9663562815530273E-13</v>
      </c>
      <c r="H17" s="42">
        <v>2.0761974605233116E-14</v>
      </c>
      <c r="I17" s="43">
        <v>463091.87325765408</v>
      </c>
      <c r="J17" s="43">
        <v>16114.863509228053</v>
      </c>
      <c r="K17" s="32"/>
    </row>
    <row r="18" spans="1:11" s="33" customFormat="1">
      <c r="A18" s="38" t="s">
        <v>53</v>
      </c>
      <c r="B18" s="39">
        <v>21.650300000000001</v>
      </c>
      <c r="C18" s="40">
        <v>250.10909090909092</v>
      </c>
      <c r="D18" s="41">
        <v>173214</v>
      </c>
      <c r="E18" s="42">
        <v>7.2625394444444399E-13</v>
      </c>
      <c r="F18" s="42">
        <v>9.7678088888888916E-15</v>
      </c>
      <c r="G18" s="42">
        <v>7.231986142664137E-13</v>
      </c>
      <c r="H18" s="42">
        <v>9.782618279710992E-15</v>
      </c>
      <c r="I18" s="43">
        <v>558256.6972540305</v>
      </c>
      <c r="J18" s="43">
        <v>7551.4693523963933</v>
      </c>
      <c r="K18" s="32"/>
    </row>
    <row r="19" spans="1:11" s="33" customFormat="1">
      <c r="A19" s="38" t="s">
        <v>54</v>
      </c>
      <c r="B19" s="39">
        <v>21.6</v>
      </c>
      <c r="C19" s="40">
        <v>250.92015810276681</v>
      </c>
      <c r="D19" s="41">
        <v>173215</v>
      </c>
      <c r="E19" s="42">
        <v>6.4381299166666704E-13</v>
      </c>
      <c r="F19" s="42">
        <v>9.84874E-15</v>
      </c>
      <c r="G19" s="42">
        <v>6.4075766148863675E-13</v>
      </c>
      <c r="H19" s="42">
        <v>9.8634278779884029E-15</v>
      </c>
      <c r="I19" s="43">
        <v>497377.81093480397</v>
      </c>
      <c r="J19" s="43">
        <v>7656.3269721499719</v>
      </c>
      <c r="K19" s="32"/>
    </row>
    <row r="20" spans="1:11" s="33" customFormat="1">
      <c r="A20" s="38" t="s">
        <v>55</v>
      </c>
      <c r="B20" s="39">
        <v>21.540099999999999</v>
      </c>
      <c r="C20" s="40">
        <v>249.8387351778656</v>
      </c>
      <c r="D20" s="41">
        <v>173216</v>
      </c>
      <c r="E20" s="42">
        <v>2.0609000833333302E-13</v>
      </c>
      <c r="F20" s="42">
        <v>4.9104801666666707E-15</v>
      </c>
      <c r="G20" s="42">
        <v>2.0303467815530273E-13</v>
      </c>
      <c r="H20" s="42">
        <v>4.9398730129331803E-15</v>
      </c>
      <c r="I20" s="43">
        <v>157359.53961526565</v>
      </c>
      <c r="J20" s="43">
        <v>3828.5880527190052</v>
      </c>
      <c r="K20" s="32"/>
    </row>
    <row r="21" spans="1:11" s="33" customFormat="1">
      <c r="A21" s="38" t="s">
        <v>56</v>
      </c>
      <c r="B21" s="39">
        <v>21.524899999999999</v>
      </c>
      <c r="C21" s="40">
        <v>248.96758893280631</v>
      </c>
      <c r="D21" s="41">
        <v>173218</v>
      </c>
      <c r="E21" s="42">
        <v>1.02047E-13</v>
      </c>
      <c r="F21" s="42">
        <v>5.0374903333333299E-15</v>
      </c>
      <c r="G21" s="42">
        <v>9.8991669821969699E-14</v>
      </c>
      <c r="H21" s="42">
        <v>5.0661463436329541E-15</v>
      </c>
      <c r="I21" s="43">
        <v>76508.752136987649</v>
      </c>
      <c r="J21" s="43">
        <v>3915.5267871711053</v>
      </c>
      <c r="K21" s="32"/>
    </row>
    <row r="22" spans="1:11" s="35" customFormat="1" ht="15">
      <c r="A22" s="57" t="s">
        <v>57</v>
      </c>
      <c r="B22" s="57"/>
      <c r="C22" s="57"/>
      <c r="D22" s="57"/>
      <c r="E22" s="57"/>
      <c r="F22" s="57"/>
      <c r="G22" s="57"/>
      <c r="H22" s="57"/>
      <c r="I22" s="57"/>
      <c r="J22" s="57"/>
      <c r="K22" s="34"/>
    </row>
    <row r="23" spans="1:11" s="20" customFormat="1" ht="29" customHeight="1">
      <c r="A23" s="58" t="s">
        <v>61</v>
      </c>
      <c r="B23" s="58"/>
      <c r="C23" s="58"/>
      <c r="D23" s="58"/>
      <c r="E23" s="58"/>
      <c r="F23" s="58"/>
      <c r="G23" s="58"/>
      <c r="H23" s="58"/>
      <c r="I23" s="58"/>
      <c r="J23" s="58"/>
      <c r="K23"/>
    </row>
    <row r="24" spans="1:11" ht="16">
      <c r="K24"/>
    </row>
    <row r="25" spans="1:11">
      <c r="I25" s="24"/>
    </row>
    <row r="26" spans="1:11" ht="16">
      <c r="F26"/>
      <c r="I26" s="24"/>
    </row>
    <row r="27" spans="1:11" ht="16">
      <c r="F27"/>
      <c r="G27" s="23"/>
    </row>
    <row r="28" spans="1:11" ht="16">
      <c r="F28"/>
      <c r="G28" s="23"/>
    </row>
    <row r="29" spans="1:11" ht="16">
      <c r="F29"/>
      <c r="G29" s="23"/>
    </row>
    <row r="30" spans="1:11" ht="16">
      <c r="F30"/>
      <c r="G30" s="23"/>
    </row>
    <row r="31" spans="1:11" ht="16">
      <c r="F31"/>
      <c r="G31" s="23"/>
    </row>
    <row r="32" spans="1:11" ht="16">
      <c r="F32"/>
      <c r="G32" s="23"/>
    </row>
    <row r="33" spans="6:7" ht="16">
      <c r="F33"/>
      <c r="G33" s="23"/>
    </row>
    <row r="34" spans="6:7" ht="16">
      <c r="F34"/>
      <c r="G34" s="23"/>
    </row>
    <row r="35" spans="6:7" ht="16">
      <c r="F35"/>
      <c r="G35" s="23"/>
    </row>
    <row r="36" spans="6:7" ht="16">
      <c r="F36"/>
      <c r="G36" s="23"/>
    </row>
    <row r="37" spans="6:7" ht="16">
      <c r="F37"/>
    </row>
    <row r="38" spans="6:7" ht="16">
      <c r="F38"/>
    </row>
    <row r="39" spans="6:7" ht="16">
      <c r="F39"/>
    </row>
    <row r="40" spans="6:7" ht="16">
      <c r="F40"/>
    </row>
    <row r="41" spans="6:7" ht="16">
      <c r="F41"/>
    </row>
    <row r="42" spans="6:7" ht="16">
      <c r="F42"/>
    </row>
  </sheetData>
  <mergeCells count="2">
    <mergeCell ref="A22:J22"/>
    <mergeCell ref="A23:J23"/>
  </mergeCells>
  <pageMargins left="0.75" right="0.75" top="1" bottom="1" header="0.5" footer="0.5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zoomScale="168" workbookViewId="0">
      <selection activeCell="C19" sqref="C19"/>
    </sheetView>
  </sheetViews>
  <sheetFormatPr baseColWidth="10" defaultRowHeight="13"/>
  <cols>
    <col min="1" max="4" width="10.83203125" style="2"/>
    <col min="5" max="5" width="11.83203125" style="2" customWidth="1"/>
    <col min="6" max="16384" width="10.83203125" style="2"/>
  </cols>
  <sheetData>
    <row r="1" spans="1:6" ht="58">
      <c r="A1" s="3" t="s">
        <v>24</v>
      </c>
      <c r="B1" s="3" t="s">
        <v>1</v>
      </c>
      <c r="C1" s="3" t="s">
        <v>35</v>
      </c>
      <c r="D1" s="3" t="s">
        <v>2</v>
      </c>
      <c r="E1" s="4" t="s">
        <v>25</v>
      </c>
      <c r="F1" s="4" t="s">
        <v>26</v>
      </c>
    </row>
    <row r="2" spans="1:6">
      <c r="A2" s="2" t="s">
        <v>36</v>
      </c>
      <c r="B2" s="2">
        <v>764</v>
      </c>
      <c r="C2" s="2">
        <v>173198</v>
      </c>
      <c r="D2" s="21">
        <v>45794</v>
      </c>
      <c r="E2" s="10">
        <v>2.6748502727272701E-15</v>
      </c>
      <c r="F2" s="10">
        <v>6.5994791818181799E-16</v>
      </c>
    </row>
    <row r="3" spans="1:6">
      <c r="A3" s="2" t="s">
        <v>36</v>
      </c>
      <c r="B3" s="2">
        <v>765</v>
      </c>
      <c r="C3" s="2">
        <v>173211</v>
      </c>
      <c r="D3" s="21">
        <v>45794</v>
      </c>
      <c r="E3" s="10">
        <v>3.4358100833333303E-15</v>
      </c>
      <c r="F3" s="10">
        <v>6.2762304166666714E-16</v>
      </c>
    </row>
    <row r="4" spans="1:6">
      <c r="D4" s="22" t="s">
        <v>58</v>
      </c>
      <c r="E4" s="14">
        <f>AVERAGE(E2:E3)</f>
        <v>3.0553301780303002E-15</v>
      </c>
      <c r="F4" s="10"/>
    </row>
    <row r="5" spans="1:6">
      <c r="D5" s="22" t="s">
        <v>59</v>
      </c>
      <c r="E5" s="14">
        <f>STDEV(E2:E3)</f>
        <v>5.3807984228997613E-16</v>
      </c>
      <c r="F5" s="10"/>
    </row>
    <row r="6" spans="1:6">
      <c r="E6" s="10"/>
      <c r="F6" s="10"/>
    </row>
    <row r="7" spans="1:6" ht="14" customHeight="1">
      <c r="A7" s="27" t="s">
        <v>60</v>
      </c>
      <c r="B7" s="27"/>
      <c r="C7" s="27"/>
      <c r="D7" s="27"/>
      <c r="E7" s="27"/>
      <c r="F7" s="27"/>
    </row>
    <row r="8" spans="1:6">
      <c r="A8" s="27"/>
      <c r="B8" s="27"/>
      <c r="C8" s="27"/>
      <c r="D8" s="27"/>
      <c r="E8" s="27"/>
      <c r="F8" s="27"/>
    </row>
    <row r="9" spans="1:6">
      <c r="A9" s="27"/>
      <c r="B9" s="27"/>
      <c r="C9" s="27"/>
      <c r="D9" s="27"/>
      <c r="E9" s="27"/>
      <c r="F9" s="27"/>
    </row>
    <row r="10" spans="1:6">
      <c r="A10" s="27"/>
      <c r="B10" s="27"/>
      <c r="C10" s="27"/>
      <c r="D10" s="27"/>
      <c r="E10" s="27"/>
      <c r="F10" s="27"/>
    </row>
    <row r="11" spans="1:6">
      <c r="A11" s="27"/>
      <c r="B11" s="27"/>
      <c r="C11" s="27"/>
      <c r="D11" s="27"/>
      <c r="E11" s="27"/>
      <c r="F11" s="27"/>
    </row>
    <row r="12" spans="1:6">
      <c r="A12" s="27"/>
      <c r="B12" s="27"/>
      <c r="C12" s="27"/>
      <c r="D12" s="27"/>
      <c r="E12" s="27"/>
      <c r="F12" s="27"/>
    </row>
    <row r="13" spans="1:6">
      <c r="A13" s="27"/>
      <c r="B13" s="27"/>
      <c r="C13" s="27"/>
      <c r="D13" s="27"/>
      <c r="E13" s="27"/>
      <c r="F13" s="27"/>
    </row>
    <row r="14" spans="1:6">
      <c r="E14" s="10"/>
      <c r="F14" s="10"/>
    </row>
    <row r="15" spans="1:6">
      <c r="E15" s="10"/>
      <c r="F15" s="10"/>
    </row>
    <row r="16" spans="1:6">
      <c r="E16" s="10"/>
      <c r="F16" s="10"/>
    </row>
    <row r="17" spans="5:6">
      <c r="E17" s="10"/>
      <c r="F17" s="10"/>
    </row>
    <row r="18" spans="5:6">
      <c r="E18" s="10"/>
      <c r="F18" s="10"/>
    </row>
    <row r="19" spans="5:6">
      <c r="E19" s="10"/>
      <c r="F19" s="10"/>
    </row>
    <row r="20" spans="5:6">
      <c r="E20" s="10"/>
      <c r="F20" s="10"/>
    </row>
    <row r="21" spans="5:6">
      <c r="E21" s="10"/>
      <c r="F21" s="10"/>
    </row>
    <row r="22" spans="5:6">
      <c r="E22" s="10"/>
      <c r="F22" s="10"/>
    </row>
    <row r="23" spans="5:6">
      <c r="E23" s="10"/>
      <c r="F23" s="10"/>
    </row>
    <row r="24" spans="5:6">
      <c r="E24" s="10"/>
      <c r="F24" s="10"/>
    </row>
    <row r="25" spans="5:6">
      <c r="E25" s="10"/>
      <c r="F25" s="10"/>
    </row>
    <row r="26" spans="5:6">
      <c r="E26" s="10"/>
      <c r="F26" s="10"/>
    </row>
    <row r="27" spans="5:6">
      <c r="E27" s="10"/>
      <c r="F27" s="10"/>
    </row>
    <row r="28" spans="5:6">
      <c r="E28" s="10"/>
      <c r="F28" s="10"/>
    </row>
    <row r="29" spans="5:6">
      <c r="E29" s="10"/>
      <c r="F29" s="10"/>
    </row>
    <row r="30" spans="5:6">
      <c r="E30" s="10"/>
      <c r="F30" s="10"/>
    </row>
    <row r="31" spans="5:6">
      <c r="E31" s="10"/>
      <c r="F31" s="10"/>
    </row>
    <row r="32" spans="5:6">
      <c r="E32" s="10"/>
      <c r="F32" s="10"/>
    </row>
    <row r="33" spans="5:6">
      <c r="E33" s="10"/>
      <c r="F33" s="10"/>
    </row>
    <row r="34" spans="5:6">
      <c r="E34" s="10"/>
      <c r="F34" s="10"/>
    </row>
    <row r="35" spans="5:6">
      <c r="E35" s="10"/>
      <c r="F35" s="10"/>
    </row>
    <row r="36" spans="5:6">
      <c r="E36" s="10"/>
      <c r="F36" s="10"/>
    </row>
    <row r="37" spans="5:6">
      <c r="E37" s="10"/>
      <c r="F37" s="10"/>
    </row>
    <row r="38" spans="5:6">
      <c r="E38" s="10"/>
      <c r="F38" s="10"/>
    </row>
    <row r="39" spans="5:6">
      <c r="E39" s="10"/>
      <c r="F39" s="10"/>
    </row>
    <row r="40" spans="5:6">
      <c r="E40" s="10"/>
      <c r="F40" s="10"/>
    </row>
    <row r="41" spans="5:6">
      <c r="E41" s="10"/>
      <c r="F41" s="10"/>
    </row>
    <row r="42" spans="5:6">
      <c r="E42" s="10"/>
      <c r="F42" s="10"/>
    </row>
    <row r="43" spans="5:6">
      <c r="E43" s="10"/>
      <c r="F43" s="10"/>
    </row>
    <row r="44" spans="5:6">
      <c r="E44" s="10"/>
      <c r="F44" s="10"/>
    </row>
    <row r="45" spans="5:6">
      <c r="E45" s="10"/>
      <c r="F45" s="10"/>
    </row>
  </sheetData>
  <mergeCells count="1">
    <mergeCell ref="A7:F13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10Be Calculations</vt:lpstr>
      <vt:lpstr>Journal-Style Table</vt:lpstr>
      <vt:lpstr>Blanks</vt:lpstr>
    </vt:vector>
  </TitlesOfParts>
  <Company>Dartmouth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Corbett</dc:creator>
  <cp:lastModifiedBy>Pedro Silvestre de Oliveira</cp:lastModifiedBy>
  <dcterms:created xsi:type="dcterms:W3CDTF">2017-01-02T20:22:22Z</dcterms:created>
  <dcterms:modified xsi:type="dcterms:W3CDTF">2026-08-31T15:43:30Z</dcterms:modified>
</cp:coreProperties>
</file>