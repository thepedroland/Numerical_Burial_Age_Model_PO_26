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1"/>
  <workbookPr showInkAnnotation="0" autoCompressPictures="0"/>
  <mc:AlternateContent xmlns:mc="http://schemas.openxmlformats.org/markup-compatibility/2006">
    <mc:Choice Requires="x15">
      <x15ac:absPath xmlns:x15ac="http://schemas.microsoft.com/office/spreadsheetml/2010/11/ac" url="/Users/pedro_oliveira/Library/CloudStorage/OneDrive-CUNY/PhD_LIFE/py_repositories/numerical_MC_Burial_Ages_PO/support/data/tables/"/>
    </mc:Choice>
  </mc:AlternateContent>
  <xr:revisionPtr revIDLastSave="0" documentId="8_{F026BBB2-755A-1842-A6F5-4F7F9A32135A}" xr6:coauthVersionLast="47" xr6:coauthVersionMax="47" xr10:uidLastSave="{00000000-0000-0000-0000-000000000000}"/>
  <bookViews>
    <workbookView xWindow="0" yWindow="600" windowWidth="28800" windowHeight="17400" tabRatio="500" activeTab="1" xr2:uid="{00000000-000D-0000-FFFF-FFFF00000000}"/>
  </bookViews>
  <sheets>
    <sheet name="26Al Calculations" sheetId="1" r:id="rId1"/>
    <sheet name="Journal-Style Table" sheetId="3" r:id="rId2"/>
    <sheet name="Blank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31" i="1" l="1"/>
  <c r="Q12" i="1"/>
  <c r="Q13" i="1"/>
  <c r="Q14" i="1"/>
  <c r="Q15" i="1"/>
  <c r="Q16" i="1"/>
  <c r="Q20" i="1"/>
  <c r="Q21" i="1"/>
  <c r="Q22" i="1"/>
  <c r="Q23" i="1"/>
  <c r="Q24" i="1"/>
  <c r="Q25" i="1"/>
  <c r="Q26" i="1"/>
  <c r="Q27" i="1"/>
  <c r="Q28" i="1"/>
  <c r="Q29" i="1"/>
  <c r="Q10" i="1"/>
  <c r="H19" i="1"/>
  <c r="I20" i="1"/>
  <c r="N20" i="1"/>
  <c r="O20" i="1" s="1"/>
  <c r="P20" i="1" s="1"/>
  <c r="N21" i="1"/>
  <c r="O21" i="1"/>
  <c r="P21" i="1"/>
  <c r="N22" i="1"/>
  <c r="O22" i="1" s="1"/>
  <c r="P22" i="1" s="1"/>
  <c r="N23" i="1"/>
  <c r="O23" i="1" s="1"/>
  <c r="P23" i="1" s="1"/>
  <c r="N24" i="1"/>
  <c r="O24" i="1"/>
  <c r="P24" i="1"/>
  <c r="N25" i="1"/>
  <c r="O25" i="1" s="1"/>
  <c r="P25" i="1" s="1"/>
  <c r="N26" i="1"/>
  <c r="O26" i="1"/>
  <c r="P26" i="1"/>
  <c r="N27" i="1"/>
  <c r="O27" i="1"/>
  <c r="P27" i="1" s="1"/>
  <c r="N28" i="1"/>
  <c r="O28" i="1" s="1"/>
  <c r="P28" i="1" s="1"/>
  <c r="N29" i="1"/>
  <c r="O29" i="1"/>
  <c r="P29" i="1"/>
  <c r="M11" i="1"/>
  <c r="M12" i="1"/>
  <c r="M13" i="1"/>
  <c r="M14" i="1"/>
  <c r="M15" i="1"/>
  <c r="M16" i="1"/>
  <c r="M17" i="1"/>
  <c r="M18" i="1"/>
  <c r="M19" i="1"/>
  <c r="M20" i="1"/>
  <c r="M21" i="1"/>
  <c r="M22" i="1"/>
  <c r="M23" i="1"/>
  <c r="M24" i="1"/>
  <c r="M25" i="1"/>
  <c r="M26" i="1"/>
  <c r="M27" i="1"/>
  <c r="M28" i="1"/>
  <c r="M29" i="1"/>
  <c r="M10" i="1"/>
  <c r="J20" i="1"/>
  <c r="K20" i="1" s="1"/>
  <c r="I21" i="1"/>
  <c r="J21" i="1" s="1"/>
  <c r="K21" i="1" s="1"/>
  <c r="I22" i="1"/>
  <c r="J22" i="1" s="1"/>
  <c r="K22" i="1" s="1"/>
  <c r="I23" i="1"/>
  <c r="J23" i="1" s="1"/>
  <c r="K23" i="1" s="1"/>
  <c r="I24" i="1"/>
  <c r="J24" i="1"/>
  <c r="K24" i="1"/>
  <c r="I25" i="1"/>
  <c r="J25" i="1" s="1"/>
  <c r="K25" i="1" s="1"/>
  <c r="I26" i="1"/>
  <c r="J26" i="1"/>
  <c r="K26" i="1"/>
  <c r="I27" i="1"/>
  <c r="J27" i="1"/>
  <c r="K27" i="1" s="1"/>
  <c r="I28" i="1"/>
  <c r="J28" i="1" s="1"/>
  <c r="K28" i="1" s="1"/>
  <c r="I29" i="1"/>
  <c r="J29" i="1"/>
  <c r="K29" i="1"/>
  <c r="H11" i="1"/>
  <c r="H12" i="1"/>
  <c r="H13" i="1"/>
  <c r="H14" i="1"/>
  <c r="H15" i="1"/>
  <c r="H16" i="1"/>
  <c r="H17" i="1"/>
  <c r="H18" i="1"/>
  <c r="H20" i="1"/>
  <c r="H21" i="1"/>
  <c r="H22" i="1"/>
  <c r="H23" i="1"/>
  <c r="H24" i="1"/>
  <c r="H25" i="1"/>
  <c r="H26" i="1"/>
  <c r="H27" i="1"/>
  <c r="H28" i="1"/>
  <c r="H29" i="1"/>
  <c r="H10" i="1"/>
  <c r="E5" i="2"/>
  <c r="E4" i="2"/>
  <c r="F11" i="1"/>
  <c r="F12" i="1"/>
  <c r="F13" i="1"/>
  <c r="F14" i="1"/>
  <c r="F15" i="1"/>
  <c r="F16" i="1"/>
  <c r="F17" i="1"/>
  <c r="F18" i="1"/>
  <c r="F19" i="1"/>
  <c r="F20" i="1"/>
  <c r="F21" i="1"/>
  <c r="F22" i="1"/>
  <c r="F23" i="1"/>
  <c r="F24" i="1"/>
  <c r="F25" i="1"/>
  <c r="F26" i="1"/>
  <c r="F27" i="1"/>
  <c r="F28" i="1"/>
  <c r="F29" i="1"/>
  <c r="N13" i="1" l="1"/>
  <c r="N14" i="1"/>
  <c r="N15" i="1"/>
  <c r="N16" i="1"/>
  <c r="N17" i="1"/>
  <c r="N18" i="1"/>
  <c r="I12" i="1"/>
  <c r="I13" i="1"/>
  <c r="I14" i="1"/>
  <c r="I15" i="1"/>
  <c r="I16" i="1"/>
  <c r="I17" i="1"/>
  <c r="I18" i="1"/>
  <c r="I19" i="1"/>
  <c r="I10" i="1"/>
  <c r="F10" i="1"/>
  <c r="N11" i="1"/>
  <c r="O11" i="1" s="1"/>
  <c r="P11" i="1" s="1"/>
  <c r="N12" i="1"/>
  <c r="O12" i="1" s="1"/>
  <c r="P12" i="1" s="1"/>
  <c r="N19" i="1"/>
  <c r="N10" i="1"/>
  <c r="I11" i="1"/>
  <c r="J11" i="1" s="1"/>
  <c r="K11" i="1" s="1"/>
  <c r="J13" i="1" l="1"/>
  <c r="K13" i="1" s="1"/>
  <c r="J10" i="1"/>
  <c r="K10" i="1" s="1"/>
  <c r="J12" i="1"/>
  <c r="K12" i="1" s="1"/>
  <c r="O10" i="1"/>
  <c r="P10" i="1" s="1"/>
  <c r="J19" i="1"/>
  <c r="K19" i="1" s="1"/>
  <c r="O15" i="1"/>
  <c r="P15" i="1" s="1"/>
  <c r="J16" i="1"/>
  <c r="K16" i="1" s="1"/>
  <c r="O13" i="1"/>
  <c r="P13" i="1" s="1"/>
  <c r="J18" i="1"/>
  <c r="K18" i="1" s="1"/>
  <c r="O18" i="1"/>
  <c r="P18" i="1" s="1"/>
  <c r="O17" i="1"/>
  <c r="P17" i="1" s="1"/>
  <c r="J14" i="1"/>
  <c r="K14" i="1" s="1"/>
  <c r="J17" i="1"/>
  <c r="K17" i="1" s="1"/>
  <c r="O19" i="1"/>
  <c r="P19" i="1" s="1"/>
  <c r="O16" i="1"/>
  <c r="P16" i="1" s="1"/>
  <c r="J15" i="1"/>
  <c r="K15" i="1" s="1"/>
  <c r="O14" i="1"/>
  <c r="P14" i="1" s="1"/>
</calcChain>
</file>

<file path=xl/sharedStrings.xml><?xml version="1.0" encoding="utf-8"?>
<sst xmlns="http://schemas.openxmlformats.org/spreadsheetml/2006/main" count="85" uniqueCount="60">
  <si>
    <t>Sample Name</t>
  </si>
  <si>
    <t>UVM Batch Number</t>
  </si>
  <si>
    <t>Quartz Mass (g)</t>
  </si>
  <si>
    <t>CONSTANTS</t>
  </si>
  <si>
    <t>SAMPLE PREPARATION DATA</t>
  </si>
  <si>
    <t>Avogadro's Number (atoms/mol):</t>
  </si>
  <si>
    <t>CALCULATIONS TO DETERMINE CONCENTRATION</t>
  </si>
  <si>
    <t>CALCULATIONS TO DETERMINE UNCERTAINTY</t>
  </si>
  <si>
    <t>Blank Name</t>
  </si>
  <si>
    <t>AMS Cathode Number</t>
  </si>
  <si>
    <t>Al Analysis Date</t>
  </si>
  <si>
    <r>
      <t xml:space="preserve">From AMS: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</si>
  <si>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From AMS: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</si>
  <si>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t>Atomic Mass of Al (g/mol):</t>
  </si>
  <si>
    <r>
      <t xml:space="preserve">Total </t>
    </r>
    <r>
      <rPr>
        <b/>
        <vertAlign val="superscript"/>
        <sz val="10"/>
        <color theme="1"/>
        <rFont val="Times New Roman"/>
        <family val="1"/>
      </rPr>
      <t>27</t>
    </r>
    <r>
      <rPr>
        <b/>
        <sz val="10"/>
        <color theme="1"/>
        <rFont val="Times New Roman"/>
        <family val="1"/>
      </rPr>
      <t>Al Quantified by ICP-OES (</t>
    </r>
    <r>
      <rPr>
        <sz val="10"/>
        <color theme="1"/>
        <rFont val="Times New Roman"/>
        <family val="1"/>
      </rPr>
      <t>μ</t>
    </r>
    <r>
      <rPr>
        <b/>
        <sz val="10"/>
        <color theme="1"/>
        <rFont val="Times New Roman"/>
        <family val="1"/>
      </rPr>
      <t>g)</t>
    </r>
  </si>
  <si>
    <r>
      <t xml:space="preserve">Calculate: Total </t>
    </r>
    <r>
      <rPr>
        <b/>
        <vertAlign val="superscript"/>
        <sz val="10"/>
        <color theme="1"/>
        <rFont val="Times New Roman"/>
        <family val="1"/>
      </rPr>
      <t>27</t>
    </r>
    <r>
      <rPr>
        <b/>
        <sz val="10"/>
        <color theme="1"/>
        <rFont val="Times New Roman"/>
        <family val="1"/>
      </rPr>
      <t>Al Atoms</t>
    </r>
  </si>
  <si>
    <r>
      <t xml:space="preserve">From AMS: Uncorrected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</si>
  <si>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From "Blanks" Sheet: Background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</si>
  <si>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Calculate: Background-Corrected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</si>
  <si>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Calculate: </t>
    </r>
    <r>
      <rPr>
        <b/>
        <vertAlign val="superscript"/>
        <sz val="10"/>
        <color theme="1"/>
        <rFont val="Times New Roman"/>
        <family val="1"/>
      </rPr>
      <t>26</t>
    </r>
    <r>
      <rPr>
        <b/>
        <sz val="10"/>
        <color theme="1"/>
        <rFont val="Times New Roman"/>
        <family val="1"/>
      </rPr>
      <t xml:space="preserve">Al Atoms </t>
    </r>
    <r>
      <rPr>
        <b/>
        <vertAlign val="superscript"/>
        <sz val="10"/>
        <color theme="1"/>
        <rFont val="Times New Roman"/>
        <family val="1"/>
      </rPr>
      <t/>
    </r>
  </si>
  <si>
    <r>
      <t xml:space="preserve">Calculate: </t>
    </r>
    <r>
      <rPr>
        <b/>
        <vertAlign val="superscript"/>
        <sz val="10"/>
        <color theme="1"/>
        <rFont val="Times New Roman"/>
        <family val="1"/>
      </rPr>
      <t>26</t>
    </r>
    <r>
      <rPr>
        <b/>
        <sz val="10"/>
        <color theme="1"/>
        <rFont val="Times New Roman"/>
        <family val="1"/>
      </rPr>
      <t>Al Atoms/g</t>
    </r>
  </si>
  <si>
    <r>
      <t xml:space="preserve">From AMS: Uncorrected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</si>
  <si>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r>
      <t xml:space="preserve">From "Blanks" Sheet: Background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</si>
  <si>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r>
      <t xml:space="preserve">Calculate: Background-Corrected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</si>
  <si>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r>
      <t xml:space="preserve">Calculate: Uncertainty </t>
    </r>
    <r>
      <rPr>
        <b/>
        <vertAlign val="superscript"/>
        <sz val="10"/>
        <color theme="1"/>
        <rFont val="Times New Roman"/>
        <family val="1"/>
      </rPr>
      <t>26</t>
    </r>
    <r>
      <rPr>
        <b/>
        <sz val="10"/>
        <color theme="1"/>
        <rFont val="Times New Roman"/>
        <family val="1"/>
      </rPr>
      <t>Al Atoms</t>
    </r>
  </si>
  <si>
    <r>
      <t xml:space="preserve">Calculate: Uncertainty </t>
    </r>
    <r>
      <rPr>
        <b/>
        <vertAlign val="superscript"/>
        <sz val="10"/>
        <color theme="1"/>
        <rFont val="Times New Roman"/>
        <family val="1"/>
      </rPr>
      <t>26</t>
    </r>
    <r>
      <rPr>
        <b/>
        <sz val="10"/>
        <color theme="1"/>
        <rFont val="Times New Roman"/>
        <family val="1"/>
      </rPr>
      <t>Al Atoms/g</t>
    </r>
  </si>
  <si>
    <r>
      <t xml:space="preserve">Uncorrected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</si>
  <si>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Uncorrected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</si>
  <si>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r>
      <t xml:space="preserve">Background-Corrected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t>
    </r>
  </si>
  <si>
    <r>
      <t xml:space="preserve">Background-Corrected </t>
    </r>
    <r>
      <rPr>
        <b/>
        <vertAlign val="superscript"/>
        <sz val="10"/>
        <color theme="1"/>
        <rFont val="Times New Roman"/>
        <family val="1"/>
      </rPr>
      <t>26</t>
    </r>
    <r>
      <rPr>
        <b/>
        <sz val="10"/>
        <color theme="1"/>
        <rFont val="Times New Roman"/>
        <family val="1"/>
      </rPr>
      <t>Al/</t>
    </r>
    <r>
      <rPr>
        <b/>
        <vertAlign val="superscript"/>
        <sz val="10"/>
        <color theme="1"/>
        <rFont val="Times New Roman"/>
        <family val="1"/>
      </rPr>
      <t>27</t>
    </r>
    <r>
      <rPr>
        <b/>
        <sz val="10"/>
        <color theme="1"/>
        <rFont val="Times New Roman"/>
        <family val="1"/>
      </rPr>
      <t>Al Ratio Uncertainty</t>
    </r>
  </si>
  <si>
    <r>
      <rPr>
        <b/>
        <vertAlign val="superscript"/>
        <sz val="10"/>
        <color theme="1"/>
        <rFont val="Times New Roman"/>
        <family val="1"/>
      </rPr>
      <t>26</t>
    </r>
    <r>
      <rPr>
        <b/>
        <sz val="10"/>
        <color theme="1"/>
        <rFont val="Times New Roman"/>
        <family val="1"/>
      </rPr>
      <t>Al Concentration (atoms g</t>
    </r>
    <r>
      <rPr>
        <b/>
        <vertAlign val="superscript"/>
        <sz val="10"/>
        <color theme="1"/>
        <rFont val="Times New Roman"/>
        <family val="1"/>
      </rPr>
      <t>-1</t>
    </r>
    <r>
      <rPr>
        <b/>
        <sz val="10"/>
        <color theme="1"/>
        <rFont val="Times New Roman"/>
        <family val="1"/>
      </rPr>
      <t>)</t>
    </r>
  </si>
  <si>
    <r>
      <rPr>
        <b/>
        <vertAlign val="superscript"/>
        <sz val="10"/>
        <color theme="1"/>
        <rFont val="Times New Roman"/>
        <family val="1"/>
      </rPr>
      <t>26</t>
    </r>
    <r>
      <rPr>
        <b/>
        <sz val="10"/>
        <color theme="1"/>
        <rFont val="Times New Roman"/>
        <family val="1"/>
      </rPr>
      <t>Al Concentration Uncertainty (atoms g</t>
    </r>
    <r>
      <rPr>
        <b/>
        <vertAlign val="superscript"/>
        <sz val="10"/>
        <color theme="1"/>
        <rFont val="Times New Roman"/>
        <family val="1"/>
      </rPr>
      <t>-1</t>
    </r>
    <r>
      <rPr>
        <b/>
        <sz val="10"/>
        <color theme="1"/>
        <rFont val="Times New Roman"/>
        <family val="1"/>
      </rPr>
      <t>)</t>
    </r>
  </si>
  <si>
    <r>
      <t>**Isotopic analysis was conducted at PRIME Laboratory; ratios were normalized against standard KNSTD with an assumed ratio of 1.818 x 10</t>
    </r>
    <r>
      <rPr>
        <vertAlign val="superscript"/>
        <sz val="10"/>
        <color theme="1"/>
        <rFont val="Times New Roman"/>
        <family val="1"/>
      </rPr>
      <t>-12</t>
    </r>
    <r>
      <rPr>
        <sz val="10"/>
        <color theme="1"/>
        <rFont val="Times New Roman"/>
        <family val="1"/>
      </rPr>
      <t xml:space="preserve"> (Nishiizumi et al., 2004).</t>
    </r>
  </si>
  <si>
    <r>
      <t xml:space="preserve">Total </t>
    </r>
    <r>
      <rPr>
        <b/>
        <vertAlign val="superscript"/>
        <sz val="10"/>
        <color theme="1"/>
        <rFont val="Times New Roman"/>
        <family val="1"/>
      </rPr>
      <t>27</t>
    </r>
    <r>
      <rPr>
        <b/>
        <sz val="10"/>
        <color theme="1"/>
        <rFont val="Times New Roman"/>
        <family val="1"/>
      </rPr>
      <t>Al Quantified by ICP-OES (</t>
    </r>
    <r>
      <rPr>
        <sz val="10"/>
        <color theme="1"/>
        <rFont val="Times New Roman"/>
        <family val="1"/>
      </rPr>
      <t>μ</t>
    </r>
    <r>
      <rPr>
        <b/>
        <sz val="10"/>
        <color theme="1"/>
        <rFont val="Times New Roman"/>
        <family val="1"/>
      </rPr>
      <t>g)*</t>
    </r>
  </si>
  <si>
    <r>
      <t>*</t>
    </r>
    <r>
      <rPr>
        <vertAlign val="superscript"/>
        <sz val="10"/>
        <rFont val="Times New Roman"/>
        <family val="1"/>
      </rPr>
      <t>27</t>
    </r>
    <r>
      <rPr>
        <sz val="10"/>
        <rFont val="Times New Roman"/>
        <family val="1"/>
      </rPr>
      <t>Al was added only to samples with insufficient total Al through commercial SPEX ICP standard with a concentration of 1000 μg mL</t>
    </r>
    <r>
      <rPr>
        <vertAlign val="superscript"/>
        <sz val="10"/>
        <rFont val="Times New Roman"/>
        <family val="1"/>
      </rPr>
      <t>-1</t>
    </r>
    <r>
      <rPr>
        <sz val="10"/>
        <rFont val="Times New Roman"/>
        <family val="1"/>
      </rPr>
      <t>. The total here reflects the sum of Al added through carrier and native Al in quartz.</t>
    </r>
  </si>
  <si>
    <t>Cathode Number</t>
  </si>
  <si>
    <t>BLK</t>
  </si>
  <si>
    <t>BE-002</t>
  </si>
  <si>
    <t>BV-018</t>
  </si>
  <si>
    <t>IC-035</t>
  </si>
  <si>
    <t>IT-030</t>
  </si>
  <si>
    <t>RA-050</t>
  </si>
  <si>
    <t>RI-048</t>
  </si>
  <si>
    <t>RV-054</t>
  </si>
  <si>
    <t>SB-011</t>
  </si>
  <si>
    <t>SB-013</t>
  </si>
  <si>
    <t>SB-017</t>
  </si>
  <si>
    <t>AD-055</t>
  </si>
  <si>
    <t>IM-033</t>
  </si>
  <si>
    <t>IP-038</t>
  </si>
  <si>
    <t>PE-053</t>
  </si>
  <si>
    <t>PP-036</t>
  </si>
  <si>
    <t>RA-051</t>
  </si>
  <si>
    <t>RC-044</t>
  </si>
  <si>
    <t>RC-045</t>
  </si>
  <si>
    <t>RI-046</t>
  </si>
  <si>
    <t>RI-047</t>
  </si>
  <si>
    <t>AVERAGE</t>
  </si>
  <si>
    <t>STDEV</t>
  </si>
  <si>
    <t>You had two blanks associated with these two batches of sanmples. I've used the average and STDEV of the two blanks to correct the sample ratios. Even though we analyzed the batches at different times, they were prepared at the same time, prepared in the same hood, and analyzed at the same AMS, so an average blank is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</si>
</sst>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0"/>
    <numFmt numFmtId="166" formatCode="0.000000%"/>
  </numFmts>
  <fonts count="15">
    <font>
      <sz val="12"/>
      <color theme="1"/>
      <name val="Calibri"/>
      <family val="2"/>
      <scheme val="minor"/>
    </font>
    <font>
      <sz val="10"/>
      <color theme="1"/>
      <name val="Times New Roman"/>
      <family val="1"/>
    </font>
    <font>
      <b/>
      <sz val="10"/>
      <color theme="1"/>
      <name val="Times New Roman"/>
      <family val="1"/>
    </font>
    <font>
      <sz val="10"/>
      <color theme="1"/>
      <name val="Times"/>
    </font>
    <font>
      <sz val="10"/>
      <name val="Times New Roman"/>
      <family val="1"/>
    </font>
    <font>
      <sz val="10"/>
      <name val="Times"/>
    </font>
    <font>
      <sz val="10"/>
      <color theme="0" tint="-0.249977111117893"/>
      <name val="Times New Roman"/>
      <family val="1"/>
    </font>
    <font>
      <sz val="10"/>
      <color rgb="FFFF0000"/>
      <name val="Times New Roman"/>
      <family val="1"/>
    </font>
    <font>
      <b/>
      <sz val="10"/>
      <color rgb="FFFF0000"/>
      <name val="Times New Roman"/>
      <family val="1"/>
    </font>
    <font>
      <b/>
      <vertAlign val="superscript"/>
      <sz val="10"/>
      <color theme="1"/>
      <name val="Times New Roman"/>
      <family val="1"/>
    </font>
    <font>
      <u/>
      <sz val="12"/>
      <color theme="10"/>
      <name val="Calibri"/>
      <family val="2"/>
      <scheme val="minor"/>
    </font>
    <font>
      <u/>
      <sz val="12"/>
      <color theme="11"/>
      <name val="Calibri"/>
      <family val="2"/>
      <scheme val="minor"/>
    </font>
    <font>
      <vertAlign val="superscript"/>
      <sz val="10"/>
      <name val="Times New Roman"/>
      <family val="1"/>
    </font>
    <font>
      <vertAlign val="superscript"/>
      <sz val="10"/>
      <color theme="1"/>
      <name val="Times New Roman"/>
      <family val="1"/>
    </font>
    <font>
      <sz val="12"/>
      <color theme="1"/>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7" tint="0.39997558519241921"/>
        <bgColor indexed="64"/>
      </patternFill>
    </fill>
    <fill>
      <patternFill patternType="solid">
        <fgColor rgb="FFFFFF66"/>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30">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9" fontId="14" fillId="0" borderId="0" applyFont="0" applyFill="0" applyBorder="0" applyAlignment="0" applyProtection="0"/>
  </cellStyleXfs>
  <cellXfs count="49">
    <xf numFmtId="0" fontId="0" fillId="0" borderId="0" xfId="0"/>
    <xf numFmtId="0" fontId="1" fillId="2" borderId="0" xfId="0" applyFont="1" applyFill="1" applyAlignment="1">
      <alignment horizontal="center"/>
    </xf>
    <xf numFmtId="0" fontId="1" fillId="0" borderId="0" xfId="0" applyFont="1" applyAlignment="1">
      <alignment horizontal="center"/>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64" fontId="4" fillId="0" borderId="0" xfId="0" applyNumberFormat="1" applyFont="1" applyAlignment="1">
      <alignment horizontal="center"/>
    </xf>
    <xf numFmtId="164" fontId="5" fillId="0" borderId="0" xfId="0" applyNumberFormat="1" applyFont="1" applyAlignment="1">
      <alignment horizontal="center"/>
    </xf>
    <xf numFmtId="164" fontId="4" fillId="4" borderId="0" xfId="0" applyNumberFormat="1" applyFont="1" applyFill="1" applyAlignment="1">
      <alignment horizontal="center"/>
    </xf>
    <xf numFmtId="164" fontId="3" fillId="0" borderId="0" xfId="0" applyNumberFormat="1" applyFont="1" applyAlignment="1">
      <alignment horizontal="center"/>
    </xf>
    <xf numFmtId="0" fontId="6" fillId="0" borderId="0" xfId="0" applyFont="1" applyAlignment="1">
      <alignment horizontal="center"/>
    </xf>
    <xf numFmtId="164" fontId="1" fillId="0" borderId="0" xfId="0" applyNumberFormat="1" applyFont="1" applyAlignment="1">
      <alignment horizontal="center"/>
    </xf>
    <xf numFmtId="0" fontId="1" fillId="0" borderId="0" xfId="0" applyFont="1" applyAlignment="1">
      <alignment horizontal="center" wrapText="1"/>
    </xf>
    <xf numFmtId="0" fontId="2" fillId="0" borderId="0" xfId="0" applyFont="1" applyAlignment="1">
      <alignment horizontal="left"/>
    </xf>
    <xf numFmtId="164" fontId="7" fillId="0" borderId="0" xfId="0" applyNumberFormat="1" applyFont="1" applyAlignment="1">
      <alignment horizontal="center"/>
    </xf>
    <xf numFmtId="164" fontId="8"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165" fontId="5" fillId="0" borderId="0" xfId="0" applyNumberFormat="1" applyFont="1" applyAlignment="1">
      <alignment horizontal="center"/>
    </xf>
    <xf numFmtId="0" fontId="1" fillId="0" borderId="0" xfId="0" applyFont="1"/>
    <xf numFmtId="1" fontId="4" fillId="0" borderId="0" xfId="0" applyNumberFormat="1" applyFont="1" applyAlignment="1">
      <alignment horizontal="center"/>
    </xf>
    <xf numFmtId="0" fontId="1" fillId="0" borderId="0" xfId="0" applyFont="1" applyAlignment="1">
      <alignment vertical="center"/>
    </xf>
    <xf numFmtId="1" fontId="5" fillId="0" borderId="0" xfId="0" applyNumberFormat="1" applyFont="1" applyAlignment="1">
      <alignment horizontal="center"/>
    </xf>
    <xf numFmtId="14" fontId="1" fillId="0" borderId="0" xfId="0" applyNumberFormat="1" applyFont="1" applyAlignment="1">
      <alignment horizontal="center"/>
    </xf>
    <xf numFmtId="165" fontId="1" fillId="0" borderId="0" xfId="0" applyNumberFormat="1" applyFont="1" applyAlignment="1">
      <alignment horizontal="center"/>
    </xf>
    <xf numFmtId="1" fontId="1" fillId="0" borderId="0" xfId="0" applyNumberFormat="1" applyFont="1" applyAlignment="1">
      <alignment horizontal="center"/>
    </xf>
    <xf numFmtId="14" fontId="8" fillId="0" borderId="0" xfId="0" applyNumberFormat="1" applyFont="1" applyAlignment="1">
      <alignment horizontal="center"/>
    </xf>
    <xf numFmtId="0" fontId="8" fillId="0" borderId="0" xfId="0" applyFont="1" applyAlignment="1">
      <alignment horizontal="center"/>
    </xf>
    <xf numFmtId="2" fontId="4" fillId="4" borderId="0" xfId="0" applyNumberFormat="1" applyFont="1" applyFill="1" applyAlignment="1">
      <alignment horizontal="center"/>
    </xf>
    <xf numFmtId="2" fontId="4" fillId="0" borderId="0" xfId="0" applyNumberFormat="1" applyFont="1" applyAlignment="1">
      <alignment horizontal="center"/>
    </xf>
    <xf numFmtId="9" fontId="6" fillId="0" borderId="0" xfId="29" applyFont="1" applyAlignment="1">
      <alignment horizontal="center"/>
    </xf>
    <xf numFmtId="166" fontId="1" fillId="0" borderId="0" xfId="0" applyNumberFormat="1" applyFont="1" applyAlignment="1">
      <alignment horizontal="center"/>
    </xf>
    <xf numFmtId="0" fontId="1" fillId="9" borderId="0" xfId="0" applyFont="1" applyFill="1" applyAlignment="1">
      <alignment horizontal="center"/>
    </xf>
    <xf numFmtId="14" fontId="1" fillId="9" borderId="0" xfId="0" applyNumberFormat="1" applyFont="1" applyFill="1" applyAlignment="1">
      <alignment horizontal="center"/>
    </xf>
    <xf numFmtId="165" fontId="1" fillId="9" borderId="0" xfId="0" applyNumberFormat="1" applyFont="1" applyFill="1" applyAlignment="1">
      <alignment horizontal="center"/>
    </xf>
    <xf numFmtId="1" fontId="1" fillId="9" borderId="0" xfId="0" applyNumberFormat="1" applyFont="1" applyFill="1" applyAlignment="1">
      <alignment horizontal="center"/>
    </xf>
    <xf numFmtId="164" fontId="4" fillId="9" borderId="0" xfId="0" applyNumberFormat="1" applyFont="1" applyFill="1" applyAlignment="1">
      <alignment horizontal="center"/>
    </xf>
    <xf numFmtId="164" fontId="3" fillId="9" borderId="0" xfId="0" applyNumberFormat="1" applyFont="1" applyFill="1" applyAlignment="1">
      <alignment horizontal="center"/>
    </xf>
    <xf numFmtId="164" fontId="5" fillId="9" borderId="0" xfId="0" applyNumberFormat="1" applyFont="1" applyFill="1" applyAlignment="1">
      <alignment horizontal="center"/>
    </xf>
    <xf numFmtId="2" fontId="4" fillId="9" borderId="0" xfId="0" applyNumberFormat="1" applyFont="1" applyFill="1" applyAlignment="1">
      <alignment horizontal="center"/>
    </xf>
    <xf numFmtId="164" fontId="1" fillId="9" borderId="0" xfId="0" applyNumberFormat="1" applyFont="1" applyFill="1" applyAlignment="1">
      <alignment horizontal="center"/>
    </xf>
    <xf numFmtId="9" fontId="6" fillId="9" borderId="0" xfId="29" applyFont="1" applyFill="1" applyAlignment="1">
      <alignment horizontal="center"/>
    </xf>
    <xf numFmtId="0" fontId="4" fillId="0" borderId="0" xfId="0" applyFont="1" applyAlignment="1">
      <alignment horizontal="left" vertical="center" wrapText="1"/>
    </xf>
    <xf numFmtId="0" fontId="1" fillId="0" borderId="0" xfId="0" applyFont="1" applyAlignment="1">
      <alignment horizontal="left" vertical="center" wrapText="1"/>
    </xf>
    <xf numFmtId="0" fontId="1" fillId="8" borderId="0" xfId="0" applyFont="1" applyFill="1" applyAlignment="1">
      <alignment horizontal="center" vertical="center" wrapText="1"/>
    </xf>
    <xf numFmtId="0" fontId="2" fillId="5" borderId="0" xfId="0" applyFont="1" applyFill="1" applyAlignment="1">
      <alignment horizontal="center"/>
    </xf>
    <xf numFmtId="0" fontId="2" fillId="6" borderId="0" xfId="0" applyFont="1" applyFill="1" applyAlignment="1">
      <alignment horizontal="center"/>
    </xf>
    <xf numFmtId="0" fontId="2" fillId="3" borderId="0" xfId="0" applyFont="1" applyFill="1" applyAlignment="1">
      <alignment horizontal="center"/>
    </xf>
    <xf numFmtId="0" fontId="2" fillId="7" borderId="0" xfId="0" applyFont="1" applyFill="1" applyAlignment="1">
      <alignment horizontal="center"/>
    </xf>
  </cellXfs>
  <cellStyles count="3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Normal" xfId="0" builtinId="0"/>
    <cellStyle name="Percent" xfId="29"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Q32"/>
  <sheetViews>
    <sheetView zoomScale="109" zoomScaleNormal="118" workbookViewId="0">
      <selection activeCell="K17" sqref="K17:K19"/>
    </sheetView>
  </sheetViews>
  <sheetFormatPr baseColWidth="10" defaultColWidth="16.83203125" defaultRowHeight="13"/>
  <cols>
    <col min="1" max="1" width="10.5" style="2" customWidth="1"/>
    <col min="2" max="3" width="8.33203125" style="2" customWidth="1"/>
    <col min="4" max="4" width="10.5" style="2" bestFit="1" customWidth="1"/>
    <col min="5" max="5" width="10.83203125" style="2" customWidth="1"/>
    <col min="6" max="6" width="14.5" style="2" customWidth="1"/>
    <col min="7" max="7" width="15.5" style="10" customWidth="1"/>
    <col min="8" max="9" width="16.83203125" style="10"/>
    <col min="10" max="10" width="11" style="10" customWidth="1"/>
    <col min="11" max="11" width="10.83203125" style="10" customWidth="1"/>
    <col min="12" max="12" width="14.1640625" style="10" customWidth="1"/>
    <col min="13" max="13" width="16.33203125" style="10" customWidth="1"/>
    <col min="14" max="14" width="16.83203125" style="10"/>
    <col min="15" max="15" width="15" style="2" customWidth="1"/>
    <col min="16" max="16" width="14.5" style="2" customWidth="1"/>
    <col min="17" max="16384" width="16.83203125" style="2"/>
  </cols>
  <sheetData>
    <row r="3" spans="1:17">
      <c r="A3" s="46" t="s">
        <v>3</v>
      </c>
      <c r="B3" s="46"/>
      <c r="C3" s="46"/>
      <c r="D3" s="46"/>
    </row>
    <row r="4" spans="1:17">
      <c r="A4" s="12" t="s">
        <v>13</v>
      </c>
      <c r="D4" s="2">
        <v>26.9815</v>
      </c>
    </row>
    <row r="5" spans="1:17">
      <c r="A5" s="12" t="s">
        <v>5</v>
      </c>
      <c r="D5" s="10">
        <v>6.0220000000000003E+23</v>
      </c>
    </row>
    <row r="8" spans="1:17">
      <c r="A8" s="1"/>
      <c r="B8" s="1"/>
      <c r="C8" s="1"/>
      <c r="D8" s="45" t="s">
        <v>4</v>
      </c>
      <c r="E8" s="45"/>
      <c r="F8" s="45"/>
      <c r="G8" s="47" t="s">
        <v>6</v>
      </c>
      <c r="H8" s="47"/>
      <c r="I8" s="47"/>
      <c r="J8" s="47"/>
      <c r="K8" s="47"/>
      <c r="L8" s="48" t="s">
        <v>7</v>
      </c>
      <c r="M8" s="48"/>
      <c r="N8" s="48"/>
      <c r="O8" s="48"/>
      <c r="P8" s="48"/>
    </row>
    <row r="9" spans="1:17" s="11" customFormat="1" ht="55" customHeight="1">
      <c r="A9" s="3" t="s">
        <v>0</v>
      </c>
      <c r="B9" s="3" t="s">
        <v>1</v>
      </c>
      <c r="C9" s="3" t="s">
        <v>10</v>
      </c>
      <c r="D9" s="3" t="s">
        <v>2</v>
      </c>
      <c r="E9" s="3" t="s">
        <v>14</v>
      </c>
      <c r="F9" s="3" t="s">
        <v>15</v>
      </c>
      <c r="G9" s="4" t="s">
        <v>16</v>
      </c>
      <c r="H9" s="4" t="s">
        <v>17</v>
      </c>
      <c r="I9" s="4" t="s">
        <v>18</v>
      </c>
      <c r="J9" s="4" t="s">
        <v>19</v>
      </c>
      <c r="K9" s="4" t="s">
        <v>20</v>
      </c>
      <c r="L9" s="4" t="s">
        <v>21</v>
      </c>
      <c r="M9" s="4" t="s">
        <v>22</v>
      </c>
      <c r="N9" s="4" t="s">
        <v>23</v>
      </c>
      <c r="O9" s="4" t="s">
        <v>24</v>
      </c>
      <c r="P9" s="4" t="s">
        <v>25</v>
      </c>
    </row>
    <row r="10" spans="1:17" s="9" customFormat="1">
      <c r="A10" s="15" t="s">
        <v>37</v>
      </c>
      <c r="B10" s="16">
        <v>764</v>
      </c>
      <c r="C10" s="17">
        <v>45623</v>
      </c>
      <c r="D10" s="18">
        <v>21.958400000000001</v>
      </c>
      <c r="E10" s="22">
        <v>1421.1780302601896</v>
      </c>
      <c r="F10" s="5">
        <f>(E10*$D$5)/($D$4*10^6)</f>
        <v>3.1719267269154279E+19</v>
      </c>
      <c r="G10" s="6">
        <v>1.1771199999999999E-12</v>
      </c>
      <c r="H10" s="6">
        <f>Blanks!$E$4</f>
        <v>8.2036253125000012E-16</v>
      </c>
      <c r="I10" s="6">
        <f t="shared" ref="I10:I19" si="0">G10-H10</f>
        <v>1.1762996374687498E-12</v>
      </c>
      <c r="J10" s="6">
        <f t="shared" ref="J10:J19" si="1">I10*F10</f>
        <v>37311362.589480564</v>
      </c>
      <c r="K10" s="28">
        <f t="shared" ref="K10:K19" si="2">J10/D10</f>
        <v>1699184.0293227448</v>
      </c>
      <c r="L10" s="6">
        <v>2.6752899166666703E-14</v>
      </c>
      <c r="M10" s="6">
        <f>Blanks!$E$5</f>
        <v>2.016123625780782E-16</v>
      </c>
      <c r="N10" s="6">
        <f>SQRT(L10^2+M10^2)</f>
        <v>2.6753658840737658E-14</v>
      </c>
      <c r="O10" s="6">
        <f>N10*F10</f>
        <v>848606.45519712998</v>
      </c>
      <c r="P10" s="7">
        <f t="shared" ref="P10:P19" si="3">O10/D10</f>
        <v>38646.096946823534</v>
      </c>
      <c r="Q10" s="30">
        <f>P10/K10</f>
        <v>2.2743914890859095E-2</v>
      </c>
    </row>
    <row r="11" spans="1:17">
      <c r="A11" s="15" t="s">
        <v>38</v>
      </c>
      <c r="B11" s="16">
        <v>764</v>
      </c>
      <c r="C11" s="17">
        <v>45623</v>
      </c>
      <c r="D11" s="18">
        <v>21.683800000000002</v>
      </c>
      <c r="E11" s="22">
        <v>1262.3040148356172</v>
      </c>
      <c r="F11" s="5">
        <f t="shared" ref="F11:F29" si="4">(E11*$D$5)/($D$4*10^6)</f>
        <v>2.8173358698886595E+19</v>
      </c>
      <c r="G11" s="6">
        <v>1.5092502500000003E-13</v>
      </c>
      <c r="H11" s="6">
        <f>Blanks!$E$4</f>
        <v>8.2036253125000012E-16</v>
      </c>
      <c r="I11" s="6">
        <f t="shared" si="0"/>
        <v>1.5010466246875003E-13</v>
      </c>
      <c r="J11" s="6">
        <f t="shared" si="1"/>
        <v>4228952.4981073951</v>
      </c>
      <c r="K11" s="28">
        <f t="shared" si="2"/>
        <v>195028.20068933466</v>
      </c>
      <c r="L11" s="6">
        <v>7.2204805E-15</v>
      </c>
      <c r="M11" s="6">
        <f>Blanks!$E$5</f>
        <v>2.016123625780782E-16</v>
      </c>
      <c r="N11" s="6">
        <f t="shared" ref="N11:N19" si="5">SQRT(L11^2+M11^2)</f>
        <v>7.2232946911796814E-15</v>
      </c>
      <c r="O11" s="6">
        <f t="shared" ref="O11:O19" si="6">N11*F11</f>
        <v>203504.47232236844</v>
      </c>
      <c r="P11" s="7">
        <f t="shared" si="3"/>
        <v>9385.0926646790886</v>
      </c>
      <c r="Q11" s="30"/>
    </row>
    <row r="12" spans="1:17" s="9" customFormat="1">
      <c r="A12" s="15" t="s">
        <v>39</v>
      </c>
      <c r="B12" s="16">
        <v>764</v>
      </c>
      <c r="C12" s="17">
        <v>45623</v>
      </c>
      <c r="D12" s="18">
        <v>21.4375</v>
      </c>
      <c r="E12" s="22">
        <v>1542.0078783440681</v>
      </c>
      <c r="F12" s="5">
        <f t="shared" si="4"/>
        <v>3.4416068207430939E+19</v>
      </c>
      <c r="G12" s="6">
        <v>5.9775296666666702E-13</v>
      </c>
      <c r="H12" s="6">
        <f>Blanks!$E$4</f>
        <v>8.2036253125000012E-16</v>
      </c>
      <c r="I12" s="6">
        <f t="shared" si="0"/>
        <v>5.9693260413541702E-13</v>
      </c>
      <c r="J12" s="6">
        <f t="shared" si="1"/>
        <v>20544073.219163883</v>
      </c>
      <c r="K12" s="28">
        <f t="shared" si="2"/>
        <v>958324.11517965642</v>
      </c>
      <c r="L12" s="6">
        <v>2.1969299166666701E-14</v>
      </c>
      <c r="M12" s="6">
        <f>Blanks!$E$5</f>
        <v>2.016123625780782E-16</v>
      </c>
      <c r="N12" s="6">
        <f t="shared" si="5"/>
        <v>2.1970224245993633E-14</v>
      </c>
      <c r="O12" s="6">
        <f t="shared" si="6"/>
        <v>756128.73618266988</v>
      </c>
      <c r="P12" s="7">
        <f t="shared" si="3"/>
        <v>35271.31130881259</v>
      </c>
      <c r="Q12" s="30">
        <f t="shared" ref="Q12:Q29" si="7">P12/K12</f>
        <v>3.6805200610234359E-2</v>
      </c>
    </row>
    <row r="13" spans="1:17">
      <c r="A13" s="15" t="s">
        <v>40</v>
      </c>
      <c r="B13" s="16">
        <v>764</v>
      </c>
      <c r="C13" s="17">
        <v>45623</v>
      </c>
      <c r="D13" s="18">
        <v>22.0945</v>
      </c>
      <c r="E13" s="22">
        <v>1494.3162207827104</v>
      </c>
      <c r="F13" s="5">
        <f t="shared" si="4"/>
        <v>3.3351638276424524E+19</v>
      </c>
      <c r="G13" s="6">
        <v>6.6125593750000003E-13</v>
      </c>
      <c r="H13" s="6">
        <f>Blanks!$E$4</f>
        <v>8.2036253125000012E-16</v>
      </c>
      <c r="I13" s="6">
        <f t="shared" si="0"/>
        <v>6.6043557496875003E-13</v>
      </c>
      <c r="J13" s="6">
        <f t="shared" si="1"/>
        <v>22026608.401240204</v>
      </c>
      <c r="K13" s="28">
        <f t="shared" si="2"/>
        <v>996927.21723687812</v>
      </c>
      <c r="L13" s="6">
        <v>2.2259500625000002E-14</v>
      </c>
      <c r="M13" s="6">
        <f>Blanks!$E$5</f>
        <v>2.016123625780782E-16</v>
      </c>
      <c r="N13" s="6">
        <f t="shared" si="5"/>
        <v>2.2260413644384952E-14</v>
      </c>
      <c r="O13" s="6">
        <f t="shared" si="6"/>
        <v>742421.26375111192</v>
      </c>
      <c r="P13" s="7">
        <f t="shared" si="3"/>
        <v>33602.084851483938</v>
      </c>
      <c r="Q13" s="30">
        <f t="shared" si="7"/>
        <v>3.3705655007209824E-2</v>
      </c>
    </row>
    <row r="14" spans="1:17">
      <c r="A14" s="15" t="s">
        <v>41</v>
      </c>
      <c r="B14" s="16">
        <v>764</v>
      </c>
      <c r="C14" s="17">
        <v>45623</v>
      </c>
      <c r="D14" s="18">
        <v>21.858599999999999</v>
      </c>
      <c r="E14" s="22">
        <v>1469.4565710413522</v>
      </c>
      <c r="F14" s="5">
        <f t="shared" si="4"/>
        <v>3.2796795844601012E+19</v>
      </c>
      <c r="G14" s="6">
        <v>1.3772199166666701E-12</v>
      </c>
      <c r="H14" s="6">
        <f>Blanks!$E$4</f>
        <v>8.2036253125000012E-16</v>
      </c>
      <c r="I14" s="6">
        <f t="shared" si="0"/>
        <v>1.37639955413542E-12</v>
      </c>
      <c r="J14" s="6">
        <f t="shared" si="1"/>
        <v>45141495.177579232</v>
      </c>
      <c r="K14" s="28">
        <f t="shared" si="2"/>
        <v>2065159.487688106</v>
      </c>
      <c r="L14" s="6">
        <v>3.0786000833333306E-14</v>
      </c>
      <c r="M14" s="6">
        <f>Blanks!$E$5</f>
        <v>2.016123625780782E-16</v>
      </c>
      <c r="N14" s="6">
        <f t="shared" si="5"/>
        <v>3.0786660989050815E-14</v>
      </c>
      <c r="O14" s="6">
        <f t="shared" si="6"/>
        <v>1009703.8351948418</v>
      </c>
      <c r="P14" s="7">
        <f t="shared" si="3"/>
        <v>46192.520801645202</v>
      </c>
      <c r="Q14" s="30">
        <f t="shared" si="7"/>
        <v>2.2367531939800234E-2</v>
      </c>
    </row>
    <row r="15" spans="1:17" s="9" customFormat="1">
      <c r="A15" s="15" t="s">
        <v>42</v>
      </c>
      <c r="B15" s="16">
        <v>764</v>
      </c>
      <c r="C15" s="17">
        <v>45623</v>
      </c>
      <c r="D15" s="18">
        <v>22.3599</v>
      </c>
      <c r="E15" s="22">
        <v>1506.6892553963094</v>
      </c>
      <c r="F15" s="5">
        <f t="shared" si="4"/>
        <v>3.3627791990795825E+19</v>
      </c>
      <c r="G15" s="6">
        <v>6.1797700833333298E-13</v>
      </c>
      <c r="H15" s="6">
        <f>Blanks!$E$4</f>
        <v>8.2036253125000012E-16</v>
      </c>
      <c r="I15" s="6">
        <f t="shared" si="0"/>
        <v>6.1715664580208298E-13</v>
      </c>
      <c r="J15" s="6">
        <f t="shared" si="1"/>
        <v>20753615.310769703</v>
      </c>
      <c r="K15" s="28">
        <f t="shared" si="2"/>
        <v>928162.25970463653</v>
      </c>
      <c r="L15" s="6">
        <v>1.6853898333333302E-14</v>
      </c>
      <c r="M15" s="6">
        <f>Blanks!$E$5</f>
        <v>2.016123625780782E-16</v>
      </c>
      <c r="N15" s="6">
        <f t="shared" si="5"/>
        <v>1.685510416980801E-14</v>
      </c>
      <c r="O15" s="6">
        <f t="shared" si="6"/>
        <v>566799.93700549915</v>
      </c>
      <c r="P15" s="7">
        <f t="shared" si="3"/>
        <v>25348.947759404073</v>
      </c>
      <c r="Q15" s="30">
        <f t="shared" si="7"/>
        <v>2.7310901186039082E-2</v>
      </c>
    </row>
    <row r="16" spans="1:17">
      <c r="A16" s="15" t="s">
        <v>43</v>
      </c>
      <c r="B16" s="16">
        <v>764</v>
      </c>
      <c r="C16" s="17">
        <v>45623</v>
      </c>
      <c r="D16" s="18">
        <v>21.3902</v>
      </c>
      <c r="E16" s="22">
        <v>1468.8057138082884</v>
      </c>
      <c r="F16" s="5">
        <f t="shared" si="4"/>
        <v>3.2782269364392317E+19</v>
      </c>
      <c r="G16" s="6">
        <v>2.5193003125000002E-12</v>
      </c>
      <c r="H16" s="6">
        <f>Blanks!$E$4</f>
        <v>8.2036253125000012E-16</v>
      </c>
      <c r="I16" s="6">
        <f t="shared" si="0"/>
        <v>2.5184799499687501E-12</v>
      </c>
      <c r="J16" s="6">
        <f t="shared" si="1"/>
        <v>82561488.108696848</v>
      </c>
      <c r="K16" s="28">
        <f t="shared" si="2"/>
        <v>3859781.026296942</v>
      </c>
      <c r="L16" s="6">
        <v>5.1635311250000005E-14</v>
      </c>
      <c r="M16" s="6">
        <f>Blanks!$E$5</f>
        <v>2.016123625780782E-16</v>
      </c>
      <c r="N16" s="6">
        <f t="shared" si="5"/>
        <v>5.1635704850705018E-14</v>
      </c>
      <c r="O16" s="6">
        <f t="shared" si="6"/>
        <v>1692735.5852360709</v>
      </c>
      <c r="P16" s="7">
        <f t="shared" si="3"/>
        <v>79136.033568459898</v>
      </c>
      <c r="Q16" s="30">
        <f t="shared" si="7"/>
        <v>2.0502726198533258E-2</v>
      </c>
    </row>
    <row r="17" spans="1:17">
      <c r="A17" s="15" t="s">
        <v>44</v>
      </c>
      <c r="B17" s="16">
        <v>764</v>
      </c>
      <c r="C17" s="17">
        <v>45623</v>
      </c>
      <c r="D17" s="18">
        <v>21.965199999999999</v>
      </c>
      <c r="E17" s="22">
        <v>1425.8937044312634</v>
      </c>
      <c r="F17" s="5">
        <f t="shared" si="4"/>
        <v>3.1824516383763202E+19</v>
      </c>
      <c r="G17" s="6">
        <v>1.11716022222222E-13</v>
      </c>
      <c r="H17" s="6">
        <f>Blanks!$E$4</f>
        <v>8.2036253125000012E-16</v>
      </c>
      <c r="I17" s="6">
        <f t="shared" si="0"/>
        <v>1.1089565969097201E-13</v>
      </c>
      <c r="J17" s="6">
        <f t="shared" si="1"/>
        <v>3529200.7387235672</v>
      </c>
      <c r="K17" s="28">
        <f t="shared" si="2"/>
        <v>160672.36987250592</v>
      </c>
      <c r="L17" s="6">
        <v>5.5298610000000009E-15</v>
      </c>
      <c r="M17" s="6">
        <f>Blanks!$E$5</f>
        <v>2.016123625780782E-16</v>
      </c>
      <c r="N17" s="6">
        <f t="shared" si="5"/>
        <v>5.5335350567304915E-15</v>
      </c>
      <c r="O17" s="6">
        <f t="shared" si="6"/>
        <v>176102.07707304758</v>
      </c>
      <c r="P17" s="7">
        <f t="shared" si="3"/>
        <v>8017.3218123690012</v>
      </c>
      <c r="Q17" s="30"/>
    </row>
    <row r="18" spans="1:17">
      <c r="A18" s="15" t="s">
        <v>45</v>
      </c>
      <c r="B18" s="16">
        <v>764</v>
      </c>
      <c r="C18" s="17">
        <v>45623</v>
      </c>
      <c r="D18" s="18">
        <v>18.139900000000001</v>
      </c>
      <c r="E18" s="22">
        <v>1454.0976702334947</v>
      </c>
      <c r="F18" s="5">
        <f t="shared" si="4"/>
        <v>3.2454000593540411E+19</v>
      </c>
      <c r="G18" s="6">
        <v>7.7199210833333306E-13</v>
      </c>
      <c r="H18" s="6">
        <f>Blanks!$E$4</f>
        <v>8.2036253125000012E-16</v>
      </c>
      <c r="I18" s="6">
        <f t="shared" si="0"/>
        <v>7.7117174580208306E-13</v>
      </c>
      <c r="J18" s="6">
        <f t="shared" si="1"/>
        <v>25027608.295982398</v>
      </c>
      <c r="K18" s="28">
        <f t="shared" si="2"/>
        <v>1379699.3531376908</v>
      </c>
      <c r="L18" s="6">
        <v>2.5583300000000002E-14</v>
      </c>
      <c r="M18" s="6">
        <f>Blanks!$E$5</f>
        <v>2.016123625780782E-16</v>
      </c>
      <c r="N18" s="6">
        <f t="shared" si="5"/>
        <v>2.5584094403256574E-14</v>
      </c>
      <c r="O18" s="6">
        <f t="shared" si="6"/>
        <v>830306.21494848281</v>
      </c>
      <c r="P18" s="7">
        <f t="shared" si="3"/>
        <v>45772.370021250543</v>
      </c>
      <c r="Q18" s="30"/>
    </row>
    <row r="19" spans="1:17" s="9" customFormat="1">
      <c r="A19" s="15" t="s">
        <v>46</v>
      </c>
      <c r="B19" s="16">
        <v>764</v>
      </c>
      <c r="C19" s="17">
        <v>45623</v>
      </c>
      <c r="D19" s="18">
        <v>20.9541</v>
      </c>
      <c r="E19" s="22">
        <v>1429.6082598062521</v>
      </c>
      <c r="F19" s="5">
        <f t="shared" si="4"/>
        <v>3.1907421531617038E+19</v>
      </c>
      <c r="G19" s="6">
        <v>3.8311798125000003E-14</v>
      </c>
      <c r="H19" s="6">
        <f>Blanks!$E$4</f>
        <v>8.2036253125000012E-16</v>
      </c>
      <c r="I19" s="6">
        <f t="shared" si="0"/>
        <v>3.749143559375E-14</v>
      </c>
      <c r="J19" s="6">
        <f t="shared" si="1"/>
        <v>1196255.0393152521</v>
      </c>
      <c r="K19" s="28">
        <f t="shared" si="2"/>
        <v>57089.306594664151</v>
      </c>
      <c r="L19" s="6">
        <v>3.2029192500000001E-15</v>
      </c>
      <c r="M19" s="6">
        <f>Blanks!$E$5</f>
        <v>2.016123625780782E-16</v>
      </c>
      <c r="N19" s="6">
        <f t="shared" si="5"/>
        <v>3.2092583670943164E-15</v>
      </c>
      <c r="O19" s="6">
        <f t="shared" si="6"/>
        <v>102399.15952274733</v>
      </c>
      <c r="P19" s="7">
        <f t="shared" si="3"/>
        <v>4886.8316712599126</v>
      </c>
      <c r="Q19" s="30"/>
    </row>
    <row r="20" spans="1:17" s="32" customFormat="1">
      <c r="A20" s="32" t="s">
        <v>47</v>
      </c>
      <c r="B20" s="32">
        <v>765</v>
      </c>
      <c r="C20" s="33">
        <v>46156</v>
      </c>
      <c r="D20" s="34">
        <v>21.56</v>
      </c>
      <c r="E20" s="35">
        <v>1291.7240700384355</v>
      </c>
      <c r="F20" s="36">
        <f t="shared" si="4"/>
        <v>2.8829984803555987E+19</v>
      </c>
      <c r="G20" s="37">
        <v>1.0489299375E-12</v>
      </c>
      <c r="H20" s="38">
        <f>Blanks!$E$4</f>
        <v>8.2036253125000012E-16</v>
      </c>
      <c r="I20" s="38">
        <f>G20-H20</f>
        <v>1.0481095749687499E-12</v>
      </c>
      <c r="J20" s="38">
        <f t="shared" ref="J20:J29" si="8">I20*F20</f>
        <v>30216983.118810587</v>
      </c>
      <c r="K20" s="39">
        <f t="shared" ref="K20:K29" si="9">J20/D20</f>
        <v>1401529.829258376</v>
      </c>
      <c r="L20" s="40">
        <v>2.9996797500000004E-14</v>
      </c>
      <c r="M20" s="38">
        <f>Blanks!$E$5</f>
        <v>2.016123625780782E-16</v>
      </c>
      <c r="N20" s="38">
        <f t="shared" ref="N20:N29" si="10">SQRT(L20^2+M20^2)</f>
        <v>2.9997475023754096E-14</v>
      </c>
      <c r="O20" s="38">
        <f t="shared" ref="O20:O29" si="11">N20*F20</f>
        <v>864826.74907988089</v>
      </c>
      <c r="P20" s="36">
        <f t="shared" ref="P20:P29" si="12">O20/D20</f>
        <v>40112.557935059413</v>
      </c>
      <c r="Q20" s="41">
        <f t="shared" si="7"/>
        <v>2.8620552411849201E-2</v>
      </c>
    </row>
    <row r="21" spans="1:17">
      <c r="A21" s="2" t="s">
        <v>48</v>
      </c>
      <c r="B21" s="2">
        <v>765</v>
      </c>
      <c r="C21" s="23">
        <v>46156</v>
      </c>
      <c r="D21" s="24">
        <v>20.462199999999999</v>
      </c>
      <c r="E21" s="25">
        <v>1586.3979368774585</v>
      </c>
      <c r="F21" s="5">
        <f t="shared" si="4"/>
        <v>3.5406809761785131E+19</v>
      </c>
      <c r="G21" s="8">
        <v>1.04067991666667E-12</v>
      </c>
      <c r="H21" s="6">
        <f>Blanks!$E$4</f>
        <v>8.2036253125000012E-16</v>
      </c>
      <c r="I21" s="6">
        <f t="shared" ref="I21:I29" si="13">G21-H21</f>
        <v>1.0398595541354199E-12</v>
      </c>
      <c r="J21" s="6">
        <f t="shared" si="8"/>
        <v>36818109.412247516</v>
      </c>
      <c r="K21" s="28">
        <f t="shared" si="9"/>
        <v>1799323.1134603082</v>
      </c>
      <c r="L21" s="10">
        <v>3.97587966666667E-14</v>
      </c>
      <c r="M21" s="6">
        <f>Blanks!$E$5</f>
        <v>2.016123625780782E-16</v>
      </c>
      <c r="N21" s="6">
        <f t="shared" si="10"/>
        <v>3.9759307840128348E-14</v>
      </c>
      <c r="O21" s="6">
        <f t="shared" si="11"/>
        <v>1407750.2489556766</v>
      </c>
      <c r="P21" s="7">
        <f t="shared" si="12"/>
        <v>68797.599913776459</v>
      </c>
      <c r="Q21" s="30">
        <f t="shared" si="7"/>
        <v>3.8235267139691574E-2</v>
      </c>
    </row>
    <row r="22" spans="1:17">
      <c r="A22" s="2" t="s">
        <v>49</v>
      </c>
      <c r="B22" s="2">
        <v>765</v>
      </c>
      <c r="C22" s="23">
        <v>46156</v>
      </c>
      <c r="D22" s="24">
        <v>21.529499999999999</v>
      </c>
      <c r="E22" s="25">
        <v>1647.8863805560177</v>
      </c>
      <c r="F22" s="5">
        <f t="shared" si="4"/>
        <v>3.6779170111774138E+19</v>
      </c>
      <c r="G22" s="8">
        <v>7.6584793750000003E-13</v>
      </c>
      <c r="H22" s="6">
        <f>Blanks!$E$4</f>
        <v>8.2036253125000012E-16</v>
      </c>
      <c r="I22" s="6">
        <f t="shared" si="13"/>
        <v>7.6502757496875004E-13</v>
      </c>
      <c r="J22" s="6">
        <f t="shared" si="8"/>
        <v>28137079.3199737</v>
      </c>
      <c r="K22" s="28">
        <f t="shared" si="9"/>
        <v>1306908.1641456468</v>
      </c>
      <c r="L22" s="10">
        <v>2.4970601875000003E-14</v>
      </c>
      <c r="M22" s="6">
        <f>Blanks!$E$5</f>
        <v>2.016123625780782E-16</v>
      </c>
      <c r="N22" s="6">
        <f t="shared" si="10"/>
        <v>2.4971415769725551E-14</v>
      </c>
      <c r="O22" s="6">
        <f t="shared" si="11"/>
        <v>918427.94852657535</v>
      </c>
      <c r="P22" s="7">
        <f t="shared" si="12"/>
        <v>42659.046820714619</v>
      </c>
      <c r="Q22" s="30">
        <f t="shared" si="7"/>
        <v>3.2641196980050795E-2</v>
      </c>
    </row>
    <row r="23" spans="1:17">
      <c r="A23" s="2" t="s">
        <v>50</v>
      </c>
      <c r="B23" s="2">
        <v>765</v>
      </c>
      <c r="C23" s="23">
        <v>46156</v>
      </c>
      <c r="D23" s="24">
        <v>21.4834</v>
      </c>
      <c r="E23" s="25">
        <v>1599.8428395201458</v>
      </c>
      <c r="F23" s="5">
        <f t="shared" si="4"/>
        <v>3.5706886494784647E+19</v>
      </c>
      <c r="G23" s="8">
        <v>1.0759200000000001E-12</v>
      </c>
      <c r="H23" s="6">
        <f>Blanks!$E$4</f>
        <v>8.2036253125000012E-16</v>
      </c>
      <c r="I23" s="6">
        <f t="shared" si="13"/>
        <v>1.07509963746875E-12</v>
      </c>
      <c r="J23" s="6">
        <f t="shared" si="8"/>
        <v>38388460.725680783</v>
      </c>
      <c r="K23" s="28">
        <f t="shared" si="9"/>
        <v>1786889.4460690944</v>
      </c>
      <c r="L23" s="10">
        <v>4.4855900833333302E-14</v>
      </c>
      <c r="M23" s="6">
        <f>Blanks!$E$5</f>
        <v>2.016123625780782E-16</v>
      </c>
      <c r="N23" s="6">
        <f t="shared" si="10"/>
        <v>4.4856353921318386E-14</v>
      </c>
      <c r="O23" s="6">
        <f t="shared" si="11"/>
        <v>1601680.7380384039</v>
      </c>
      <c r="P23" s="7">
        <f t="shared" si="12"/>
        <v>74554.341400262711</v>
      </c>
      <c r="Q23" s="30">
        <f t="shared" si="7"/>
        <v>4.172297372077035E-2</v>
      </c>
    </row>
    <row r="24" spans="1:17">
      <c r="A24" s="2" t="s">
        <v>51</v>
      </c>
      <c r="B24" s="2">
        <v>765</v>
      </c>
      <c r="C24" s="23">
        <v>46156</v>
      </c>
      <c r="D24" s="24">
        <v>21.529599999999999</v>
      </c>
      <c r="E24" s="25">
        <v>1559.8852149704635</v>
      </c>
      <c r="F24" s="5">
        <f t="shared" si="4"/>
        <v>3.4815072418331566E+19</v>
      </c>
      <c r="G24" s="8">
        <v>3.9251900000000006E-13</v>
      </c>
      <c r="H24" s="6">
        <f>Blanks!$E$4</f>
        <v>8.2036253125000012E-16</v>
      </c>
      <c r="I24" s="6">
        <f t="shared" si="13"/>
        <v>3.9169863746875006E-13</v>
      </c>
      <c r="J24" s="6">
        <f t="shared" si="8"/>
        <v>13637016.429636335</v>
      </c>
      <c r="K24" s="28">
        <f t="shared" si="9"/>
        <v>633407.79343955929</v>
      </c>
      <c r="L24" s="10">
        <v>2.0800298333333299E-14</v>
      </c>
      <c r="M24" s="6">
        <f>Blanks!$E$5</f>
        <v>2.016123625780782E-16</v>
      </c>
      <c r="N24" s="6">
        <f t="shared" si="10"/>
        <v>2.080127540081166E-14</v>
      </c>
      <c r="O24" s="6">
        <f t="shared" si="11"/>
        <v>724197.90947291697</v>
      </c>
      <c r="P24" s="7">
        <f t="shared" si="12"/>
        <v>33637.31372031608</v>
      </c>
      <c r="Q24" s="30">
        <f t="shared" si="7"/>
        <v>5.3105304463744021E-2</v>
      </c>
    </row>
    <row r="25" spans="1:17">
      <c r="A25" s="2" t="s">
        <v>52</v>
      </c>
      <c r="B25" s="2">
        <v>765</v>
      </c>
      <c r="C25" s="23">
        <v>46156</v>
      </c>
      <c r="D25" s="24">
        <v>21.55</v>
      </c>
      <c r="E25" s="25">
        <v>1540.1004739066607</v>
      </c>
      <c r="F25" s="5">
        <f t="shared" si="4"/>
        <v>3.4373496854755709E+19</v>
      </c>
      <c r="G25" s="8">
        <v>1.7384395625000002E-12</v>
      </c>
      <c r="H25" s="6">
        <f>Blanks!$E$4</f>
        <v>8.2036253125000012E-16</v>
      </c>
      <c r="I25" s="6">
        <f t="shared" si="13"/>
        <v>1.7376191999687501E-12</v>
      </c>
      <c r="J25" s="6">
        <f t="shared" si="8"/>
        <v>59728048.104888961</v>
      </c>
      <c r="K25" s="28">
        <f t="shared" si="9"/>
        <v>2771603.1603196734</v>
      </c>
      <c r="L25" s="10">
        <v>5.0146793125000005E-14</v>
      </c>
      <c r="M25" s="6">
        <f>Blanks!$E$5</f>
        <v>2.016123625780782E-16</v>
      </c>
      <c r="N25" s="6">
        <f t="shared" si="10"/>
        <v>5.0147198408946957E-14</v>
      </c>
      <c r="O25" s="6">
        <f t="shared" si="11"/>
        <v>1723734.5667847488</v>
      </c>
      <c r="P25" s="7">
        <f t="shared" si="12"/>
        <v>79987.682913445416</v>
      </c>
      <c r="Q25" s="30">
        <f t="shared" si="7"/>
        <v>2.8859717025369439E-2</v>
      </c>
    </row>
    <row r="26" spans="1:17">
      <c r="A26" s="2" t="s">
        <v>53</v>
      </c>
      <c r="B26" s="2">
        <v>765</v>
      </c>
      <c r="C26" s="23">
        <v>46156</v>
      </c>
      <c r="D26" s="24">
        <v>21.650300000000001</v>
      </c>
      <c r="E26" s="25">
        <v>1560.3308772099203</v>
      </c>
      <c r="F26" s="5">
        <f t="shared" si="4"/>
        <v>3.4825019152227045E+19</v>
      </c>
      <c r="G26" s="8">
        <v>1.9179298333333301E-12</v>
      </c>
      <c r="H26" s="6">
        <f>Blanks!$E$4</f>
        <v>8.2036253125000012E-16</v>
      </c>
      <c r="I26" s="6">
        <f t="shared" si="13"/>
        <v>1.91710947080208E-12</v>
      </c>
      <c r="J26" s="6">
        <f t="shared" si="8"/>
        <v>66763374.03759829</v>
      </c>
      <c r="K26" s="28">
        <f t="shared" si="9"/>
        <v>3083715.8855811828</v>
      </c>
      <c r="L26" s="10">
        <v>3.5124905833333305E-14</v>
      </c>
      <c r="M26" s="6">
        <f>Blanks!$E$5</f>
        <v>2.016123625780782E-16</v>
      </c>
      <c r="N26" s="6">
        <f t="shared" si="10"/>
        <v>3.5125484442855395E-14</v>
      </c>
      <c r="O26" s="6">
        <f t="shared" si="11"/>
        <v>1223245.6684536922</v>
      </c>
      <c r="P26" s="7">
        <f t="shared" si="12"/>
        <v>56500.171750677458</v>
      </c>
      <c r="Q26" s="30">
        <f t="shared" si="7"/>
        <v>1.8322106785148583E-2</v>
      </c>
    </row>
    <row r="27" spans="1:17">
      <c r="A27" s="2" t="s">
        <v>54</v>
      </c>
      <c r="B27" s="2">
        <v>765</v>
      </c>
      <c r="C27" s="23">
        <v>46156</v>
      </c>
      <c r="D27" s="24">
        <v>21.6</v>
      </c>
      <c r="E27" s="25">
        <v>1483.155534671236</v>
      </c>
      <c r="F27" s="5">
        <f t="shared" si="4"/>
        <v>3.3102542963846279E+19</v>
      </c>
      <c r="G27" s="8">
        <v>1.89501975E-12</v>
      </c>
      <c r="H27" s="6">
        <f>Blanks!$E$4</f>
        <v>8.2036253125000012E-16</v>
      </c>
      <c r="I27" s="6">
        <f t="shared" si="13"/>
        <v>1.8941993874687499E-12</v>
      </c>
      <c r="J27" s="6">
        <f t="shared" si="8"/>
        <v>62702816.605775602</v>
      </c>
      <c r="K27" s="28">
        <f t="shared" si="9"/>
        <v>2902908.1761933146</v>
      </c>
      <c r="L27" s="10">
        <v>3.5260101249999999E-14</v>
      </c>
      <c r="M27" s="6">
        <f>Blanks!$E$5</f>
        <v>2.016123625780782E-16</v>
      </c>
      <c r="N27" s="6">
        <f t="shared" si="10"/>
        <v>3.5260677641035147E-14</v>
      </c>
      <c r="O27" s="6">
        <f t="shared" si="11"/>
        <v>1167218.0965466998</v>
      </c>
      <c r="P27" s="7">
        <f t="shared" si="12"/>
        <v>54037.874840124983</v>
      </c>
      <c r="Q27" s="30">
        <f t="shared" si="7"/>
        <v>1.8615082379555919E-2</v>
      </c>
    </row>
    <row r="28" spans="1:17">
      <c r="A28" s="2" t="s">
        <v>55</v>
      </c>
      <c r="B28" s="2">
        <v>765</v>
      </c>
      <c r="C28" s="23">
        <v>46156</v>
      </c>
      <c r="D28" s="24">
        <v>21.540099999999999</v>
      </c>
      <c r="E28" s="25">
        <v>1544.7476718153648</v>
      </c>
      <c r="F28" s="5">
        <f t="shared" si="4"/>
        <v>3.4477217647914783E+19</v>
      </c>
      <c r="G28" s="8">
        <v>5.6766802500000001E-13</v>
      </c>
      <c r="H28" s="6">
        <f>Blanks!$E$4</f>
        <v>8.2036253125000012E-16</v>
      </c>
      <c r="I28" s="6">
        <f t="shared" si="13"/>
        <v>5.6684766246875002E-13</v>
      </c>
      <c r="J28" s="6">
        <f t="shared" si="8"/>
        <v>19543330.232146829</v>
      </c>
      <c r="K28" s="28">
        <f t="shared" si="9"/>
        <v>907299.88403706718</v>
      </c>
      <c r="L28" s="10">
        <v>2.05303975E-14</v>
      </c>
      <c r="M28" s="6">
        <f>Blanks!$E$5</f>
        <v>2.016123625780782E-16</v>
      </c>
      <c r="N28" s="6">
        <f t="shared" si="10"/>
        <v>2.0531387411783709E-14</v>
      </c>
      <c r="O28" s="6">
        <f t="shared" si="11"/>
        <v>707865.11240972474</v>
      </c>
      <c r="P28" s="7">
        <f t="shared" si="12"/>
        <v>32862.666023357589</v>
      </c>
      <c r="Q28" s="30">
        <f t="shared" si="7"/>
        <v>3.6220291219628331E-2</v>
      </c>
    </row>
    <row r="29" spans="1:17">
      <c r="A29" s="2" t="s">
        <v>56</v>
      </c>
      <c r="B29" s="2">
        <v>765</v>
      </c>
      <c r="C29" s="23">
        <v>46156</v>
      </c>
      <c r="D29" s="24">
        <v>21.524899999999999</v>
      </c>
      <c r="E29" s="25">
        <v>1493.3180780700532</v>
      </c>
      <c r="F29" s="5">
        <f t="shared" si="4"/>
        <v>3.3329360732864594E+19</v>
      </c>
      <c r="G29" s="6">
        <v>3.2268600000000002E-13</v>
      </c>
      <c r="H29" s="6">
        <f>Blanks!$E$4</f>
        <v>8.2036253125000012E-16</v>
      </c>
      <c r="I29" s="6">
        <f t="shared" si="13"/>
        <v>3.2186563746875003E-13</v>
      </c>
      <c r="J29" s="6">
        <f t="shared" si="8"/>
        <v>10727575.938709388</v>
      </c>
      <c r="K29" s="28">
        <f t="shared" si="9"/>
        <v>498379.82702402282</v>
      </c>
      <c r="L29" s="10">
        <v>1.3402602142857101E-14</v>
      </c>
      <c r="M29" s="6">
        <f>Blanks!$E$5</f>
        <v>2.016123625780782E-16</v>
      </c>
      <c r="N29" s="6">
        <f t="shared" si="10"/>
        <v>1.3404118462042257E-14</v>
      </c>
      <c r="O29" s="6">
        <f t="shared" si="11"/>
        <v>446750.69952745654</v>
      </c>
      <c r="P29" s="7">
        <f t="shared" si="12"/>
        <v>20755.065042228143</v>
      </c>
      <c r="Q29" s="30">
        <f t="shared" si="7"/>
        <v>4.1645074533138579E-2</v>
      </c>
    </row>
    <row r="30" spans="1:17">
      <c r="G30" s="6"/>
      <c r="H30" s="6"/>
      <c r="I30" s="6"/>
      <c r="J30" s="13"/>
      <c r="K30" s="13"/>
    </row>
    <row r="31" spans="1:17">
      <c r="G31" s="6"/>
      <c r="H31" s="6"/>
      <c r="I31" s="6"/>
      <c r="J31" s="13"/>
      <c r="K31" s="13"/>
      <c r="Q31" s="31">
        <f>AVERAGE(Q10:Q29)</f>
        <v>3.1338968530726409E-2</v>
      </c>
    </row>
    <row r="32" spans="1:17">
      <c r="G32" s="6"/>
      <c r="H32" s="6"/>
      <c r="I32" s="6"/>
    </row>
  </sheetData>
  <mergeCells count="4">
    <mergeCell ref="D8:F8"/>
    <mergeCell ref="A3:D3"/>
    <mergeCell ref="G8:K8"/>
    <mergeCell ref="L8:P8"/>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
  <sheetViews>
    <sheetView tabSelected="1" zoomScale="110" zoomScaleNormal="172" workbookViewId="0">
      <selection activeCell="M15" sqref="M15"/>
    </sheetView>
  </sheetViews>
  <sheetFormatPr baseColWidth="10" defaultRowHeight="13"/>
  <cols>
    <col min="1" max="1" width="8.5" style="19" customWidth="1"/>
    <col min="2" max="2" width="8" style="19" customWidth="1"/>
    <col min="3" max="3" width="9.1640625" style="19" customWidth="1"/>
    <col min="4" max="4" width="7.1640625" style="19" bestFit="1" customWidth="1"/>
    <col min="5" max="5" width="10.83203125" style="19"/>
    <col min="6" max="6" width="11.1640625" style="19" customWidth="1"/>
    <col min="7" max="8" width="10.6640625" style="19" bestFit="1" customWidth="1"/>
    <col min="9" max="9" width="12.6640625" style="19" customWidth="1"/>
    <col min="10" max="10" width="11.83203125" style="19" customWidth="1"/>
    <col min="11" max="16384" width="10.83203125" style="19"/>
  </cols>
  <sheetData>
    <row r="1" spans="1:10" ht="72">
      <c r="A1" s="3" t="s">
        <v>0</v>
      </c>
      <c r="B1" s="3" t="s">
        <v>2</v>
      </c>
      <c r="C1" s="3" t="s">
        <v>33</v>
      </c>
      <c r="D1" s="3" t="s">
        <v>9</v>
      </c>
      <c r="E1" s="4" t="s">
        <v>26</v>
      </c>
      <c r="F1" s="4" t="s">
        <v>27</v>
      </c>
      <c r="G1" s="4" t="s">
        <v>28</v>
      </c>
      <c r="H1" s="4" t="s">
        <v>29</v>
      </c>
      <c r="I1" s="4" t="s">
        <v>30</v>
      </c>
      <c r="J1" s="4" t="s">
        <v>31</v>
      </c>
    </row>
    <row r="2" spans="1:10">
      <c r="A2" s="15" t="s">
        <v>37</v>
      </c>
      <c r="B2" s="18">
        <v>21.958400000000001</v>
      </c>
      <c r="C2" s="22">
        <v>1421.1780302601896</v>
      </c>
      <c r="D2" s="20">
        <v>173219</v>
      </c>
      <c r="E2" s="5">
        <v>1.1771199999999999E-12</v>
      </c>
      <c r="F2" s="5">
        <v>2.6752899166666703E-14</v>
      </c>
      <c r="G2" s="5">
        <v>1.1762996374687498E-12</v>
      </c>
      <c r="H2" s="5">
        <v>2.6753658840737658E-14</v>
      </c>
      <c r="I2" s="29">
        <v>1699184.0293227399</v>
      </c>
      <c r="J2" s="29">
        <v>38646.096946823534</v>
      </c>
    </row>
    <row r="3" spans="1:10">
      <c r="A3" s="15" t="s">
        <v>38</v>
      </c>
      <c r="B3" s="18">
        <v>21.683800000000002</v>
      </c>
      <c r="C3" s="22">
        <v>1262.3040148356172</v>
      </c>
      <c r="D3" s="20">
        <v>173220</v>
      </c>
      <c r="E3" s="5">
        <v>1.5092502500000003E-13</v>
      </c>
      <c r="F3" s="5">
        <v>7.2204805E-15</v>
      </c>
      <c r="G3" s="5">
        <v>1.5010466246875003E-13</v>
      </c>
      <c r="H3" s="5">
        <v>7.2232946911796814E-15</v>
      </c>
      <c r="I3" s="29">
        <v>195028.20068933466</v>
      </c>
      <c r="J3" s="29">
        <v>9385.0926646790886</v>
      </c>
    </row>
    <row r="4" spans="1:10">
      <c r="A4" s="15" t="s">
        <v>39</v>
      </c>
      <c r="B4" s="18">
        <v>21.4375</v>
      </c>
      <c r="C4" s="22">
        <v>1542.0078783440681</v>
      </c>
      <c r="D4" s="20">
        <v>173221</v>
      </c>
      <c r="E4" s="5">
        <v>5.9775296666666702E-13</v>
      </c>
      <c r="F4" s="5">
        <v>2.1969299166666701E-14</v>
      </c>
      <c r="G4" s="5">
        <v>5.9693260413541702E-13</v>
      </c>
      <c r="H4" s="5">
        <v>2.1970224245993633E-14</v>
      </c>
      <c r="I4" s="29">
        <v>958324.11517965642</v>
      </c>
      <c r="J4" s="29">
        <v>35271.31130881259</v>
      </c>
    </row>
    <row r="5" spans="1:10">
      <c r="A5" s="15" t="s">
        <v>40</v>
      </c>
      <c r="B5" s="18">
        <v>22.0945</v>
      </c>
      <c r="C5" s="22">
        <v>1494.3162207827104</v>
      </c>
      <c r="D5" s="20">
        <v>173223</v>
      </c>
      <c r="E5" s="5">
        <v>6.6125593750000003E-13</v>
      </c>
      <c r="F5" s="5">
        <v>2.2259500625000002E-14</v>
      </c>
      <c r="G5" s="5">
        <v>6.6043557496875003E-13</v>
      </c>
      <c r="H5" s="5">
        <v>2.2260413644384952E-14</v>
      </c>
      <c r="I5" s="29">
        <v>996927.21723687812</v>
      </c>
      <c r="J5" s="29">
        <v>33602.084851483938</v>
      </c>
    </row>
    <row r="6" spans="1:10">
      <c r="A6" s="15" t="s">
        <v>41</v>
      </c>
      <c r="B6" s="18">
        <v>21.858599999999999</v>
      </c>
      <c r="C6" s="22">
        <v>1469.4565710413522</v>
      </c>
      <c r="D6" s="20">
        <v>173224</v>
      </c>
      <c r="E6" s="5">
        <v>1.3772199166666701E-12</v>
      </c>
      <c r="F6" s="5">
        <v>3.0786000833333306E-14</v>
      </c>
      <c r="G6" s="5">
        <v>1.37639955413542E-12</v>
      </c>
      <c r="H6" s="5">
        <v>3.0786660989050815E-14</v>
      </c>
      <c r="I6" s="29">
        <v>2065159.487688106</v>
      </c>
      <c r="J6" s="29">
        <v>46192.520801645202</v>
      </c>
    </row>
    <row r="7" spans="1:10">
      <c r="A7" s="15" t="s">
        <v>42</v>
      </c>
      <c r="B7" s="18">
        <v>22.3599</v>
      </c>
      <c r="C7" s="22">
        <v>1506.6892553963094</v>
      </c>
      <c r="D7" s="20">
        <v>173225</v>
      </c>
      <c r="E7" s="5">
        <v>6.1797700833333298E-13</v>
      </c>
      <c r="F7" s="5">
        <v>1.6853898333333302E-14</v>
      </c>
      <c r="G7" s="5">
        <v>6.1715664580208298E-13</v>
      </c>
      <c r="H7" s="5">
        <v>1.685510416980801E-14</v>
      </c>
      <c r="I7" s="29">
        <v>928162.25970463653</v>
      </c>
      <c r="J7" s="29">
        <v>25348.947759404073</v>
      </c>
    </row>
    <row r="8" spans="1:10">
      <c r="A8" s="15" t="s">
        <v>43</v>
      </c>
      <c r="B8" s="18">
        <v>21.3902</v>
      </c>
      <c r="C8" s="22">
        <v>1468.8057138082884</v>
      </c>
      <c r="D8" s="20">
        <v>173226</v>
      </c>
      <c r="E8" s="5">
        <v>2.5193003125000002E-12</v>
      </c>
      <c r="F8" s="5">
        <v>5.1635311250000005E-14</v>
      </c>
      <c r="G8" s="5">
        <v>2.5184799499687501E-12</v>
      </c>
      <c r="H8" s="5">
        <v>5.1635704850705018E-14</v>
      </c>
      <c r="I8" s="29">
        <v>3859781.026296942</v>
      </c>
      <c r="J8" s="29">
        <v>79136.033568459898</v>
      </c>
    </row>
    <row r="9" spans="1:10">
      <c r="A9" s="15" t="s">
        <v>44</v>
      </c>
      <c r="B9" s="18">
        <v>21.965199999999999</v>
      </c>
      <c r="C9" s="22">
        <v>1425.8937044312634</v>
      </c>
      <c r="D9" s="20">
        <v>173227</v>
      </c>
      <c r="E9" s="5">
        <v>1.11716022222222E-13</v>
      </c>
      <c r="F9" s="5">
        <v>5.5298610000000009E-15</v>
      </c>
      <c r="G9" s="5">
        <v>1.1089565969097201E-13</v>
      </c>
      <c r="H9" s="5">
        <v>5.5335350567304915E-15</v>
      </c>
      <c r="I9" s="29">
        <v>160672.36987250592</v>
      </c>
      <c r="J9" s="29">
        <v>8017.3218123690012</v>
      </c>
    </row>
    <row r="10" spans="1:10">
      <c r="A10" s="15" t="s">
        <v>45</v>
      </c>
      <c r="B10" s="18">
        <v>18.139900000000001</v>
      </c>
      <c r="C10" s="22">
        <v>1454.0976702334947</v>
      </c>
      <c r="D10" s="20">
        <v>173229</v>
      </c>
      <c r="E10" s="5">
        <v>7.7199210833333306E-13</v>
      </c>
      <c r="F10" s="5">
        <v>2.5583300000000002E-14</v>
      </c>
      <c r="G10" s="5">
        <v>7.7117174580208306E-13</v>
      </c>
      <c r="H10" s="5">
        <v>2.5584094403256574E-14</v>
      </c>
      <c r="I10" s="29">
        <v>1379699.3531376908</v>
      </c>
      <c r="J10" s="29">
        <v>45772.370021250543</v>
      </c>
    </row>
    <row r="11" spans="1:10">
      <c r="A11" s="15" t="s">
        <v>46</v>
      </c>
      <c r="B11" s="18">
        <v>20.9541</v>
      </c>
      <c r="C11" s="22">
        <v>1429.6082598062521</v>
      </c>
      <c r="D11" s="20">
        <v>173230</v>
      </c>
      <c r="E11" s="5">
        <v>3.8311798125000003E-14</v>
      </c>
      <c r="F11" s="5">
        <v>3.2029192500000001E-15</v>
      </c>
      <c r="G11" s="5">
        <v>3.749143559375E-14</v>
      </c>
      <c r="H11" s="5">
        <v>3.2092583670943164E-15</v>
      </c>
      <c r="I11" s="29">
        <v>57089.306594664151</v>
      </c>
      <c r="J11" s="29">
        <v>4886.8316712599126</v>
      </c>
    </row>
    <row r="12" spans="1:10">
      <c r="A12" s="15" t="s">
        <v>47</v>
      </c>
      <c r="B12" s="18">
        <v>21.56</v>
      </c>
      <c r="C12" s="22">
        <v>1291.7240700384355</v>
      </c>
      <c r="D12" s="20">
        <v>182460</v>
      </c>
      <c r="E12" s="5">
        <v>1.0489299375000002E-12</v>
      </c>
      <c r="F12" s="5">
        <v>2.9996797500000004E-14</v>
      </c>
      <c r="G12" s="5">
        <v>1.0481095749687501E-12</v>
      </c>
      <c r="H12" s="5">
        <v>2.9997475023754096E-14</v>
      </c>
      <c r="I12" s="29">
        <v>1401529.8292583763</v>
      </c>
      <c r="J12" s="29">
        <v>40112.557935059413</v>
      </c>
    </row>
    <row r="13" spans="1:10">
      <c r="A13" s="15" t="s">
        <v>48</v>
      </c>
      <c r="B13" s="18">
        <v>20.462199999999999</v>
      </c>
      <c r="C13" s="22">
        <v>1586.3979368774585</v>
      </c>
      <c r="D13" s="20">
        <v>182461</v>
      </c>
      <c r="E13" s="5">
        <v>1.04067991666667E-12</v>
      </c>
      <c r="F13" s="5">
        <v>3.97587966666667E-14</v>
      </c>
      <c r="G13" s="5">
        <v>1.0398595541354199E-12</v>
      </c>
      <c r="H13" s="5">
        <v>3.9759307840128348E-14</v>
      </c>
      <c r="I13" s="29">
        <v>1799323.1134603082</v>
      </c>
      <c r="J13" s="29">
        <v>68797.599913776459</v>
      </c>
    </row>
    <row r="14" spans="1:10">
      <c r="A14" s="15" t="s">
        <v>49</v>
      </c>
      <c r="B14" s="18">
        <v>21.529499999999999</v>
      </c>
      <c r="C14" s="22">
        <v>1647.8863805560177</v>
      </c>
      <c r="D14" s="20">
        <v>182462</v>
      </c>
      <c r="E14" s="5">
        <v>7.6584793750000003E-13</v>
      </c>
      <c r="F14" s="5">
        <v>2.4970601875000003E-14</v>
      </c>
      <c r="G14" s="5">
        <v>7.6502757496875004E-13</v>
      </c>
      <c r="H14" s="5">
        <v>2.4971415769725551E-14</v>
      </c>
      <c r="I14" s="29">
        <v>1306908.1641456468</v>
      </c>
      <c r="J14" s="29">
        <v>42659.046820714619</v>
      </c>
    </row>
    <row r="15" spans="1:10">
      <c r="A15" s="15" t="s">
        <v>50</v>
      </c>
      <c r="B15" s="18">
        <v>21.4834</v>
      </c>
      <c r="C15" s="22">
        <v>1599.8428395201458</v>
      </c>
      <c r="D15" s="20">
        <v>182463</v>
      </c>
      <c r="E15" s="5">
        <v>1.0759200000000001E-12</v>
      </c>
      <c r="F15" s="5">
        <v>4.4855900833333302E-14</v>
      </c>
      <c r="G15" s="5">
        <v>1.07509963746875E-12</v>
      </c>
      <c r="H15" s="5">
        <v>4.4856353921318386E-14</v>
      </c>
      <c r="I15" s="29">
        <v>1786889.4460690944</v>
      </c>
      <c r="J15" s="29">
        <v>74554.341400262711</v>
      </c>
    </row>
    <row r="16" spans="1:10">
      <c r="A16" s="15" t="s">
        <v>51</v>
      </c>
      <c r="B16" s="18">
        <v>21.529599999999999</v>
      </c>
      <c r="C16" s="22">
        <v>1559.8852149704635</v>
      </c>
      <c r="D16" s="20">
        <v>182465</v>
      </c>
      <c r="E16" s="5">
        <v>3.9251900000000006E-13</v>
      </c>
      <c r="F16" s="5">
        <v>2.0800298333333299E-14</v>
      </c>
      <c r="G16" s="5">
        <v>3.9169863746875006E-13</v>
      </c>
      <c r="H16" s="5">
        <v>2.080127540081166E-14</v>
      </c>
      <c r="I16" s="29">
        <v>633407.79343955929</v>
      </c>
      <c r="J16" s="29">
        <v>33637.31372031608</v>
      </c>
    </row>
    <row r="17" spans="1:10">
      <c r="A17" s="15" t="s">
        <v>52</v>
      </c>
      <c r="B17" s="18">
        <v>21.55</v>
      </c>
      <c r="C17" s="22">
        <v>1540.1004739066607</v>
      </c>
      <c r="D17" s="20">
        <v>182466</v>
      </c>
      <c r="E17" s="5">
        <v>1.7384395625000002E-12</v>
      </c>
      <c r="F17" s="5">
        <v>5.0146793125000005E-14</v>
      </c>
      <c r="G17" s="5">
        <v>1.7376191999687501E-12</v>
      </c>
      <c r="H17" s="5">
        <v>5.0147198408946957E-14</v>
      </c>
      <c r="I17" s="29">
        <v>2771603.1603196734</v>
      </c>
      <c r="J17" s="29">
        <v>79987.682913445416</v>
      </c>
    </row>
    <row r="18" spans="1:10">
      <c r="A18" s="15" t="s">
        <v>53</v>
      </c>
      <c r="B18" s="18">
        <v>21.650300000000001</v>
      </c>
      <c r="C18" s="22">
        <v>1560.3308772099203</v>
      </c>
      <c r="D18" s="20">
        <v>182467</v>
      </c>
      <c r="E18" s="5">
        <v>1.9179298333333301E-12</v>
      </c>
      <c r="F18" s="5">
        <v>3.5124905833333305E-14</v>
      </c>
      <c r="G18" s="5">
        <v>1.91710947080208E-12</v>
      </c>
      <c r="H18" s="5">
        <v>3.5125484442855395E-14</v>
      </c>
      <c r="I18" s="29">
        <v>3083715.8855811828</v>
      </c>
      <c r="J18" s="29">
        <v>56500.171750677458</v>
      </c>
    </row>
    <row r="19" spans="1:10">
      <c r="A19" s="15" t="s">
        <v>54</v>
      </c>
      <c r="B19" s="18">
        <v>21.6</v>
      </c>
      <c r="C19" s="22">
        <v>1483.155534671236</v>
      </c>
      <c r="D19" s="20">
        <v>182468</v>
      </c>
      <c r="E19" s="5">
        <v>1.89501975E-12</v>
      </c>
      <c r="F19" s="5">
        <v>3.5260101249999999E-14</v>
      </c>
      <c r="G19" s="5">
        <v>1.8941993874687499E-12</v>
      </c>
      <c r="H19" s="5">
        <v>3.5260677641035147E-14</v>
      </c>
      <c r="I19" s="29">
        <v>2902908.1761933146</v>
      </c>
      <c r="J19" s="29">
        <v>54037.874840124983</v>
      </c>
    </row>
    <row r="20" spans="1:10">
      <c r="A20" s="15" t="s">
        <v>55</v>
      </c>
      <c r="B20" s="18">
        <v>21.540099999999999</v>
      </c>
      <c r="C20" s="22">
        <v>1544.7476718153648</v>
      </c>
      <c r="D20" s="20">
        <v>182469</v>
      </c>
      <c r="E20" s="5">
        <v>5.6766802500000001E-13</v>
      </c>
      <c r="F20" s="5">
        <v>2.05303975E-14</v>
      </c>
      <c r="G20" s="5">
        <v>5.6684766246875002E-13</v>
      </c>
      <c r="H20" s="5">
        <v>2.0531387411783709E-14</v>
      </c>
      <c r="I20" s="29">
        <v>907299.88403706718</v>
      </c>
      <c r="J20" s="29">
        <v>32862.666023357589</v>
      </c>
    </row>
    <row r="21" spans="1:10">
      <c r="A21" s="15" t="s">
        <v>56</v>
      </c>
      <c r="B21" s="18">
        <v>21.524899999999999</v>
      </c>
      <c r="C21" s="22">
        <v>1493.3180780700532</v>
      </c>
      <c r="D21" s="20">
        <v>182471</v>
      </c>
      <c r="E21" s="5">
        <v>3.2268600000000002E-13</v>
      </c>
      <c r="F21" s="5">
        <v>1.3402602142857101E-14</v>
      </c>
      <c r="G21" s="5">
        <v>3.2186563746875003E-13</v>
      </c>
      <c r="H21" s="5">
        <v>1.3404118462042257E-14</v>
      </c>
      <c r="I21" s="29">
        <v>498379.82702402282</v>
      </c>
      <c r="J21" s="29">
        <v>20755.065042228143</v>
      </c>
    </row>
    <row r="22" spans="1:10" s="21" customFormat="1" ht="29" customHeight="1">
      <c r="A22" s="42" t="s">
        <v>34</v>
      </c>
      <c r="B22" s="42"/>
      <c r="C22" s="42"/>
      <c r="D22" s="42"/>
      <c r="E22" s="42"/>
      <c r="F22" s="42"/>
      <c r="G22" s="42"/>
      <c r="H22" s="42"/>
      <c r="I22" s="42"/>
      <c r="J22" s="42"/>
    </row>
    <row r="23" spans="1:10" s="21" customFormat="1" ht="29" customHeight="1">
      <c r="A23" s="43" t="s">
        <v>32</v>
      </c>
      <c r="B23" s="43"/>
      <c r="C23" s="43"/>
      <c r="D23" s="43"/>
      <c r="E23" s="43"/>
      <c r="F23" s="43"/>
      <c r="G23" s="43"/>
      <c r="H23" s="43"/>
      <c r="I23" s="43"/>
      <c r="J23" s="43"/>
    </row>
  </sheetData>
  <mergeCells count="2">
    <mergeCell ref="A22:J22"/>
    <mergeCell ref="A23:J23"/>
  </mergeCell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zoomScale="217" workbookViewId="0">
      <selection activeCell="E5" sqref="E5"/>
    </sheetView>
  </sheetViews>
  <sheetFormatPr baseColWidth="10" defaultRowHeight="13"/>
  <cols>
    <col min="1" max="16384" width="10.83203125" style="2"/>
  </cols>
  <sheetData>
    <row r="1" spans="1:6" ht="58">
      <c r="A1" s="3" t="s">
        <v>8</v>
      </c>
      <c r="B1" s="3" t="s">
        <v>1</v>
      </c>
      <c r="C1" s="3" t="s">
        <v>35</v>
      </c>
      <c r="D1" s="3" t="s">
        <v>10</v>
      </c>
      <c r="E1" s="4" t="s">
        <v>11</v>
      </c>
      <c r="F1" s="4" t="s">
        <v>12</v>
      </c>
    </row>
    <row r="2" spans="1:6">
      <c r="A2" s="2" t="s">
        <v>36</v>
      </c>
      <c r="B2" s="2">
        <v>764</v>
      </c>
      <c r="C2" s="20">
        <v>173222</v>
      </c>
      <c r="D2" s="23">
        <v>45623</v>
      </c>
      <c r="E2" s="10">
        <v>6.7780106250000009E-16</v>
      </c>
      <c r="F2" s="10">
        <v>5.3264898125000007E-16</v>
      </c>
    </row>
    <row r="3" spans="1:6">
      <c r="A3" s="2" t="s">
        <v>36</v>
      </c>
      <c r="B3" s="2">
        <v>765</v>
      </c>
      <c r="C3" s="20">
        <v>182464</v>
      </c>
      <c r="D3" s="23">
        <v>46156</v>
      </c>
      <c r="E3" s="10">
        <v>9.6292400000000014E-16</v>
      </c>
      <c r="F3" s="10">
        <v>7.5635711666666711E-16</v>
      </c>
    </row>
    <row r="4" spans="1:6">
      <c r="C4" s="20"/>
      <c r="D4" s="26" t="s">
        <v>57</v>
      </c>
      <c r="E4" s="14">
        <f>AVERAGE(E2:E3)</f>
        <v>8.2036253125000012E-16</v>
      </c>
      <c r="F4" s="10"/>
    </row>
    <row r="5" spans="1:6">
      <c r="D5" s="27" t="s">
        <v>58</v>
      </c>
      <c r="E5" s="14">
        <f>STDEV(E2:E3)</f>
        <v>2.016123625780782E-16</v>
      </c>
      <c r="F5" s="10"/>
    </row>
    <row r="6" spans="1:6">
      <c r="E6" s="10"/>
      <c r="F6" s="10"/>
    </row>
    <row r="7" spans="1:6">
      <c r="A7" s="44" t="s">
        <v>59</v>
      </c>
      <c r="B7" s="44"/>
      <c r="C7" s="44"/>
      <c r="D7" s="44"/>
      <c r="E7" s="44"/>
      <c r="F7" s="44"/>
    </row>
    <row r="8" spans="1:6">
      <c r="A8" s="44"/>
      <c r="B8" s="44"/>
      <c r="C8" s="44"/>
      <c r="D8" s="44"/>
      <c r="E8" s="44"/>
      <c r="F8" s="44"/>
    </row>
    <row r="9" spans="1:6">
      <c r="A9" s="44"/>
      <c r="B9" s="44"/>
      <c r="C9" s="44"/>
      <c r="D9" s="44"/>
      <c r="E9" s="44"/>
      <c r="F9" s="44"/>
    </row>
    <row r="10" spans="1:6">
      <c r="A10" s="44"/>
      <c r="B10" s="44"/>
      <c r="C10" s="44"/>
      <c r="D10" s="44"/>
      <c r="E10" s="44"/>
      <c r="F10" s="44"/>
    </row>
    <row r="11" spans="1:6">
      <c r="A11" s="44"/>
      <c r="B11" s="44"/>
      <c r="C11" s="44"/>
      <c r="D11" s="44"/>
      <c r="E11" s="44"/>
      <c r="F11" s="44"/>
    </row>
    <row r="12" spans="1:6">
      <c r="A12" s="44"/>
      <c r="B12" s="44"/>
      <c r="C12" s="44"/>
      <c r="D12" s="44"/>
      <c r="E12" s="44"/>
      <c r="F12" s="44"/>
    </row>
    <row r="13" spans="1:6">
      <c r="A13" s="44"/>
      <c r="B13" s="44"/>
      <c r="C13" s="44"/>
      <c r="D13" s="44"/>
      <c r="E13" s="44"/>
      <c r="F13" s="44"/>
    </row>
    <row r="14" spans="1:6">
      <c r="E14" s="10"/>
      <c r="F14" s="10"/>
    </row>
    <row r="15" spans="1:6">
      <c r="E15" s="10"/>
      <c r="F15" s="10"/>
    </row>
    <row r="16" spans="1:6">
      <c r="E16" s="10"/>
      <c r="F16" s="10"/>
    </row>
    <row r="17" spans="5:6">
      <c r="E17" s="10"/>
      <c r="F17" s="10"/>
    </row>
    <row r="18" spans="5:6">
      <c r="E18" s="10"/>
      <c r="F18" s="10"/>
    </row>
    <row r="19" spans="5:6">
      <c r="E19" s="10"/>
      <c r="F19" s="10"/>
    </row>
    <row r="20" spans="5:6">
      <c r="E20" s="10"/>
      <c r="F20" s="10"/>
    </row>
    <row r="21" spans="5:6">
      <c r="E21" s="10"/>
      <c r="F21" s="10"/>
    </row>
    <row r="22" spans="5:6">
      <c r="E22" s="10"/>
      <c r="F22" s="10"/>
    </row>
    <row r="23" spans="5:6">
      <c r="E23" s="10"/>
      <c r="F23" s="10"/>
    </row>
    <row r="24" spans="5:6">
      <c r="E24" s="10"/>
      <c r="F24" s="10"/>
    </row>
    <row r="25" spans="5:6">
      <c r="E25" s="10"/>
      <c r="F25" s="10"/>
    </row>
    <row r="26" spans="5:6">
      <c r="E26" s="10"/>
      <c r="F26" s="10"/>
    </row>
    <row r="27" spans="5:6">
      <c r="E27" s="10"/>
      <c r="F27" s="10"/>
    </row>
    <row r="28" spans="5:6">
      <c r="E28" s="10"/>
      <c r="F28" s="10"/>
    </row>
    <row r="29" spans="5:6">
      <c r="E29" s="10"/>
      <c r="F29" s="10"/>
    </row>
    <row r="30" spans="5:6">
      <c r="E30" s="10"/>
      <c r="F30" s="10"/>
    </row>
    <row r="31" spans="5:6">
      <c r="E31" s="10"/>
      <c r="F31" s="10"/>
    </row>
    <row r="32" spans="5:6">
      <c r="E32" s="10"/>
      <c r="F32" s="10"/>
    </row>
    <row r="33" spans="5:6">
      <c r="E33" s="10"/>
      <c r="F33" s="10"/>
    </row>
    <row r="34" spans="5:6">
      <c r="E34" s="10"/>
      <c r="F34" s="10"/>
    </row>
    <row r="35" spans="5:6">
      <c r="E35" s="10"/>
      <c r="F35" s="10"/>
    </row>
    <row r="36" spans="5:6">
      <c r="E36" s="10"/>
      <c r="F36" s="10"/>
    </row>
    <row r="37" spans="5:6">
      <c r="E37" s="10"/>
      <c r="F37" s="10"/>
    </row>
    <row r="38" spans="5:6">
      <c r="E38" s="10"/>
      <c r="F38" s="10"/>
    </row>
    <row r="39" spans="5:6">
      <c r="E39" s="10"/>
      <c r="F39" s="10"/>
    </row>
    <row r="40" spans="5:6">
      <c r="E40" s="10"/>
      <c r="F40" s="10"/>
    </row>
    <row r="41" spans="5:6">
      <c r="E41" s="10"/>
      <c r="F41" s="10"/>
    </row>
    <row r="42" spans="5:6">
      <c r="E42" s="10"/>
      <c r="F42" s="10"/>
    </row>
    <row r="43" spans="5:6">
      <c r="E43" s="10"/>
      <c r="F43" s="10"/>
    </row>
    <row r="44" spans="5:6">
      <c r="E44" s="10"/>
      <c r="F44" s="10"/>
    </row>
    <row r="45" spans="5:6">
      <c r="E45" s="10"/>
      <c r="F45" s="10"/>
    </row>
    <row r="46" spans="5:6">
      <c r="E46" s="10"/>
      <c r="F46" s="10"/>
    </row>
  </sheetData>
  <mergeCells count="1">
    <mergeCell ref="A7:F1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6f60f0b3-5f06-4e09-9715-989dba8cc7d8}" enabled="0" method="" siteId="{6f60f0b3-5f06-4e09-9715-989dba8cc7d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26Al Calculations</vt:lpstr>
      <vt:lpstr>Journal-Style Table</vt:lpstr>
      <vt:lpstr>Blanks</vt:lpstr>
    </vt:vector>
  </TitlesOfParts>
  <Company>Dartmouth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Corbett</dc:creator>
  <cp:lastModifiedBy>Pedro Silvestre de Oliveira</cp:lastModifiedBy>
  <dcterms:created xsi:type="dcterms:W3CDTF">2017-01-02T20:22:22Z</dcterms:created>
  <dcterms:modified xsi:type="dcterms:W3CDTF">2026-08-31T15:43:20Z</dcterms:modified>
</cp:coreProperties>
</file>